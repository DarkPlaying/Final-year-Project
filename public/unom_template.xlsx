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sanja\Documents\Edu Online\public\"/>
    </mc:Choice>
  </mc:AlternateContent>
  <xr:revisionPtr revIDLastSave="0" documentId="13_ncr:1_{CD4A4E0F-8472-49F5-B103-EBCD83F2FDA9}" xr6:coauthVersionLast="47" xr6:coauthVersionMax="47" xr10:uidLastSave="{00000000-0000-0000-0000-000000000000}"/>
  <bookViews>
    <workbookView xWindow="-108" yWindow="-108" windowWidth="23256" windowHeight="12456" tabRatio="1000" xr2:uid="{00000000-000D-0000-FFFF-FFFF00000000}"/>
  </bookViews>
  <sheets>
    <sheet name="1.....UNM-INTERNAL WITH EXTRA" sheetId="1" r:id="rId1"/>
    <sheet name="OVERALL_MARKS" sheetId="9" state="hidden" r:id="rId2"/>
  </sheets>
  <definedNames>
    <definedName name="_xlnm._FilterDatabase" localSheetId="0" hidden="1">'1.....UNM-INTERNAL WITH EXTRA'!$AF$1:$AF$940</definedName>
    <definedName name="_xlnm._FilterDatabase" localSheetId="1" hidden="1">OVERALL_MARKS!$AK$1:$AK$58</definedName>
    <definedName name="_xlnm.Print_Area" localSheetId="1">OVERALL_MARKS!$A$4:$AL$58</definedName>
    <definedName name="_xlnm.Print_Titles" localSheetId="0">'1.....UNM-INTERNAL WITH EXTRA'!$5:$6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8" i="9" l="1"/>
  <c r="AG58" i="9" s="1"/>
  <c r="V58" i="9"/>
  <c r="W58" i="9" s="1"/>
  <c r="L58" i="9"/>
  <c r="AH58" i="9" s="1"/>
  <c r="AF57" i="9"/>
  <c r="AH57" i="9" s="1"/>
  <c r="V57" i="9"/>
  <c r="W57" i="9" s="1"/>
  <c r="L57" i="9"/>
  <c r="M57" i="9" s="1"/>
  <c r="AF56" i="9"/>
  <c r="AG56" i="9" s="1"/>
  <c r="V56" i="9"/>
  <c r="W56" i="9" s="1"/>
  <c r="L56" i="9"/>
  <c r="AH56" i="9" s="1"/>
  <c r="AH55" i="9"/>
  <c r="AF55" i="9"/>
  <c r="AG55" i="9" s="1"/>
  <c r="V55" i="9"/>
  <c r="W55" i="9" s="1"/>
  <c r="L55" i="9"/>
  <c r="M55" i="9" s="1"/>
  <c r="AF54" i="9"/>
  <c r="AG54" i="9" s="1"/>
  <c r="V54" i="9"/>
  <c r="W54" i="9" s="1"/>
  <c r="L54" i="9"/>
  <c r="M54" i="9" s="1"/>
  <c r="AI54" i="9" s="1"/>
  <c r="AF53" i="9"/>
  <c r="AG53" i="9" s="1"/>
  <c r="W53" i="9"/>
  <c r="V53" i="9"/>
  <c r="L53" i="9"/>
  <c r="M53" i="9" s="1"/>
  <c r="AF52" i="9"/>
  <c r="AG52" i="9" s="1"/>
  <c r="V52" i="9"/>
  <c r="W52" i="9" s="1"/>
  <c r="L52" i="9"/>
  <c r="M52" i="9" s="1"/>
  <c r="AH51" i="9"/>
  <c r="AG51" i="9"/>
  <c r="AF51" i="9"/>
  <c r="W51" i="9"/>
  <c r="V51" i="9"/>
  <c r="L51" i="9"/>
  <c r="M51" i="9" s="1"/>
  <c r="AF50" i="9"/>
  <c r="AG50" i="9" s="1"/>
  <c r="V50" i="9"/>
  <c r="W50" i="9" s="1"/>
  <c r="L50" i="9"/>
  <c r="M50" i="9" s="1"/>
  <c r="AI50" i="9" s="1"/>
  <c r="AF49" i="9"/>
  <c r="W49" i="9"/>
  <c r="V49" i="9"/>
  <c r="L49" i="9"/>
  <c r="M49" i="9" s="1"/>
  <c r="AF48" i="9"/>
  <c r="AG48" i="9" s="1"/>
  <c r="V48" i="9"/>
  <c r="W48" i="9" s="1"/>
  <c r="L48" i="9"/>
  <c r="AF47" i="9"/>
  <c r="AH47" i="9" s="1"/>
  <c r="W47" i="9"/>
  <c r="V47" i="9"/>
  <c r="L47" i="9"/>
  <c r="M47" i="9" s="1"/>
  <c r="AF46" i="9"/>
  <c r="AG46" i="9" s="1"/>
  <c r="V46" i="9"/>
  <c r="W46" i="9" s="1"/>
  <c r="L46" i="9"/>
  <c r="AF45" i="9"/>
  <c r="V45" i="9"/>
  <c r="W45" i="9" s="1"/>
  <c r="L45" i="9"/>
  <c r="M45" i="9" s="1"/>
  <c r="AF44" i="9"/>
  <c r="AG44" i="9" s="1"/>
  <c r="V44" i="9"/>
  <c r="W44" i="9" s="1"/>
  <c r="L44" i="9"/>
  <c r="M44" i="9" s="1"/>
  <c r="AI44" i="9" s="1"/>
  <c r="AF43" i="9"/>
  <c r="V43" i="9"/>
  <c r="W43" i="9" s="1"/>
  <c r="L43" i="9"/>
  <c r="M43" i="9" s="1"/>
  <c r="AF42" i="9"/>
  <c r="AG42" i="9" s="1"/>
  <c r="V42" i="9"/>
  <c r="W42" i="9" s="1"/>
  <c r="L42" i="9"/>
  <c r="AF41" i="9"/>
  <c r="AG41" i="9" s="1"/>
  <c r="V41" i="9"/>
  <c r="W41" i="9" s="1"/>
  <c r="L41" i="9"/>
  <c r="M41" i="9" s="1"/>
  <c r="AF40" i="9"/>
  <c r="AG40" i="9" s="1"/>
  <c r="V40" i="9"/>
  <c r="W40" i="9" s="1"/>
  <c r="L40" i="9"/>
  <c r="M40" i="9" s="1"/>
  <c r="AI40" i="9" s="1"/>
  <c r="AF39" i="9"/>
  <c r="AG39" i="9" s="1"/>
  <c r="V39" i="9"/>
  <c r="W39" i="9" s="1"/>
  <c r="L39" i="9"/>
  <c r="M39" i="9" s="1"/>
  <c r="AF38" i="9"/>
  <c r="AG38" i="9" s="1"/>
  <c r="V38" i="9"/>
  <c r="W38" i="9" s="1"/>
  <c r="L38" i="9"/>
  <c r="M38" i="9" s="1"/>
  <c r="AI38" i="9" s="1"/>
  <c r="AF37" i="9"/>
  <c r="V37" i="9"/>
  <c r="W37" i="9" s="1"/>
  <c r="L37" i="9"/>
  <c r="M37" i="9" s="1"/>
  <c r="AF36" i="9"/>
  <c r="AG36" i="9" s="1"/>
  <c r="V36" i="9"/>
  <c r="W36" i="9" s="1"/>
  <c r="L36" i="9"/>
  <c r="M36" i="9" s="1"/>
  <c r="AF35" i="9"/>
  <c r="V35" i="9"/>
  <c r="W35" i="9" s="1"/>
  <c r="L35" i="9"/>
  <c r="M35" i="9" s="1"/>
  <c r="AF34" i="9"/>
  <c r="AG34" i="9" s="1"/>
  <c r="V34" i="9"/>
  <c r="W34" i="9" s="1"/>
  <c r="L34" i="9"/>
  <c r="AF33" i="9"/>
  <c r="W33" i="9"/>
  <c r="V33" i="9"/>
  <c r="L33" i="9"/>
  <c r="M33" i="9" s="1"/>
  <c r="AF32" i="9"/>
  <c r="AG32" i="9" s="1"/>
  <c r="V32" i="9"/>
  <c r="W32" i="9" s="1"/>
  <c r="L32" i="9"/>
  <c r="AF31" i="9"/>
  <c r="AH31" i="9" s="1"/>
  <c r="V31" i="9"/>
  <c r="W31" i="9" s="1"/>
  <c r="L31" i="9"/>
  <c r="M31" i="9" s="1"/>
  <c r="AF30" i="9"/>
  <c r="AG30" i="9" s="1"/>
  <c r="V30" i="9"/>
  <c r="W30" i="9" s="1"/>
  <c r="L30" i="9"/>
  <c r="M30" i="9" s="1"/>
  <c r="AF29" i="9"/>
  <c r="V29" i="9"/>
  <c r="W29" i="9" s="1"/>
  <c r="L29" i="9"/>
  <c r="M29" i="9" s="1"/>
  <c r="AF28" i="9"/>
  <c r="AG28" i="9" s="1"/>
  <c r="V28" i="9"/>
  <c r="W28" i="9" s="1"/>
  <c r="L28" i="9"/>
  <c r="AH28" i="9" s="1"/>
  <c r="AF27" i="9"/>
  <c r="V27" i="9"/>
  <c r="W27" i="9" s="1"/>
  <c r="L27" i="9"/>
  <c r="M27" i="9" s="1"/>
  <c r="AF26" i="9"/>
  <c r="AG26" i="9" s="1"/>
  <c r="V26" i="9"/>
  <c r="W26" i="9" s="1"/>
  <c r="L26" i="9"/>
  <c r="M26" i="9" s="1"/>
  <c r="AI26" i="9" s="1"/>
  <c r="AF25" i="9"/>
  <c r="AG25" i="9" s="1"/>
  <c r="V25" i="9"/>
  <c r="W25" i="9" s="1"/>
  <c r="L25" i="9"/>
  <c r="M25" i="9" s="1"/>
  <c r="AF24" i="9"/>
  <c r="AG24" i="9" s="1"/>
  <c r="V24" i="9"/>
  <c r="W24" i="9" s="1"/>
  <c r="L24" i="9"/>
  <c r="M24" i="9" s="1"/>
  <c r="AF23" i="9"/>
  <c r="AG23" i="9" s="1"/>
  <c r="V23" i="9"/>
  <c r="W23" i="9" s="1"/>
  <c r="L23" i="9"/>
  <c r="M23" i="9" s="1"/>
  <c r="AF22" i="9"/>
  <c r="AG22" i="9" s="1"/>
  <c r="V22" i="9"/>
  <c r="W22" i="9" s="1"/>
  <c r="L22" i="9"/>
  <c r="M22" i="9" s="1"/>
  <c r="AI22" i="9" s="1"/>
  <c r="AF21" i="9"/>
  <c r="V21" i="9"/>
  <c r="W21" i="9" s="1"/>
  <c r="L21" i="9"/>
  <c r="M21" i="9" s="1"/>
  <c r="AF20" i="9"/>
  <c r="AG20" i="9" s="1"/>
  <c r="V20" i="9"/>
  <c r="W20" i="9" s="1"/>
  <c r="L20" i="9"/>
  <c r="AH20" i="9" s="1"/>
  <c r="AF19" i="9"/>
  <c r="AG19" i="9" s="1"/>
  <c r="V19" i="9"/>
  <c r="W19" i="9" s="1"/>
  <c r="L19" i="9"/>
  <c r="M19" i="9" s="1"/>
  <c r="AF18" i="9"/>
  <c r="AG18" i="9" s="1"/>
  <c r="V18" i="9"/>
  <c r="W18" i="9" s="1"/>
  <c r="L18" i="9"/>
  <c r="AH18" i="9" s="1"/>
  <c r="AF17" i="9"/>
  <c r="V17" i="9"/>
  <c r="W17" i="9" s="1"/>
  <c r="L17" i="9"/>
  <c r="M17" i="9" s="1"/>
  <c r="AF16" i="9"/>
  <c r="AG16" i="9" s="1"/>
  <c r="V16" i="9"/>
  <c r="W16" i="9" s="1"/>
  <c r="L16" i="9"/>
  <c r="M16" i="9" s="1"/>
  <c r="AI16" i="9" s="1"/>
  <c r="AF15" i="9"/>
  <c r="V15" i="9"/>
  <c r="W15" i="9" s="1"/>
  <c r="L15" i="9"/>
  <c r="M15" i="9" s="1"/>
  <c r="AF14" i="9"/>
  <c r="AG14" i="9" s="1"/>
  <c r="V14" i="9"/>
  <c r="W14" i="9" s="1"/>
  <c r="L14" i="9"/>
  <c r="M14" i="9" s="1"/>
  <c r="AF13" i="9"/>
  <c r="V13" i="9"/>
  <c r="W13" i="9" s="1"/>
  <c r="L13" i="9"/>
  <c r="M13" i="9" s="1"/>
  <c r="AF12" i="9"/>
  <c r="AG12" i="9" s="1"/>
  <c r="V12" i="9"/>
  <c r="W12" i="9" s="1"/>
  <c r="L12" i="9"/>
  <c r="M12" i="9" s="1"/>
  <c r="AI12" i="9" s="1"/>
  <c r="AF11" i="9"/>
  <c r="AH11" i="9" s="1"/>
  <c r="W11" i="9"/>
  <c r="V11" i="9"/>
  <c r="L11" i="9"/>
  <c r="M11" i="9" s="1"/>
  <c r="AF10" i="9"/>
  <c r="AG10" i="9" s="1"/>
  <c r="V10" i="9"/>
  <c r="W10" i="9" s="1"/>
  <c r="L10" i="9"/>
  <c r="AF9" i="9"/>
  <c r="AG9" i="9" s="1"/>
  <c r="V9" i="9"/>
  <c r="W9" i="9" s="1"/>
  <c r="L9" i="9"/>
  <c r="M9" i="9" s="1"/>
  <c r="AH48" i="9" l="1"/>
  <c r="AH21" i="9"/>
  <c r="AH13" i="9"/>
  <c r="AH35" i="9"/>
  <c r="AH17" i="9"/>
  <c r="AH43" i="9"/>
  <c r="AI14" i="9"/>
  <c r="AI36" i="9"/>
  <c r="AI19" i="9"/>
  <c r="AH10" i="9"/>
  <c r="AH32" i="9"/>
  <c r="AH49" i="9"/>
  <c r="AH9" i="9"/>
  <c r="AH27" i="9"/>
  <c r="AH45" i="9"/>
  <c r="AH29" i="9"/>
  <c r="AH23" i="9"/>
  <c r="AH46" i="9"/>
  <c r="AH15" i="9"/>
  <c r="AH19" i="9"/>
  <c r="AI24" i="9"/>
  <c r="AH37" i="9"/>
  <c r="AH41" i="9"/>
  <c r="AI51" i="9"/>
  <c r="AH42" i="9"/>
  <c r="AH33" i="9"/>
  <c r="AH34" i="9"/>
  <c r="AG27" i="9"/>
  <c r="AI27" i="9" s="1"/>
  <c r="AG45" i="9"/>
  <c r="AI45" i="9" s="1"/>
  <c r="AI39" i="9"/>
  <c r="AI25" i="9"/>
  <c r="AG49" i="9"/>
  <c r="AG35" i="9"/>
  <c r="AI35" i="9" s="1"/>
  <c r="AH53" i="9"/>
  <c r="AG11" i="9"/>
  <c r="AI11" i="9" s="1"/>
  <c r="AI33" i="9"/>
  <c r="AH39" i="9"/>
  <c r="AH25" i="9"/>
  <c r="AG29" i="9"/>
  <c r="AI29" i="9" s="1"/>
  <c r="AI9" i="9"/>
  <c r="AG15" i="9"/>
  <c r="AI15" i="9" s="1"/>
  <c r="AI23" i="9"/>
  <c r="AG47" i="9"/>
  <c r="AI47" i="9" s="1"/>
  <c r="AI55" i="9"/>
  <c r="AI30" i="9"/>
  <c r="AG33" i="9"/>
  <c r="AI41" i="9"/>
  <c r="AI49" i="9"/>
  <c r="AG13" i="9"/>
  <c r="AI13" i="9" s="1"/>
  <c r="AG31" i="9"/>
  <c r="AI31" i="9" s="1"/>
  <c r="AG17" i="9"/>
  <c r="AG21" i="9"/>
  <c r="AI21" i="9" s="1"/>
  <c r="AI17" i="9"/>
  <c r="AI53" i="9"/>
  <c r="AG57" i="9"/>
  <c r="AI57" i="9" s="1"/>
  <c r="AG43" i="9"/>
  <c r="AI43" i="9" s="1"/>
  <c r="AG37" i="9"/>
  <c r="AI37" i="9" s="1"/>
  <c r="AI52" i="9"/>
  <c r="M56" i="9"/>
  <c r="AI56" i="9" s="1"/>
  <c r="M20" i="9"/>
  <c r="AI20" i="9" s="1"/>
  <c r="M32" i="9"/>
  <c r="AI32" i="9" s="1"/>
  <c r="M48" i="9"/>
  <c r="AI48" i="9" s="1"/>
  <c r="M10" i="9"/>
  <c r="AI10" i="9" s="1"/>
  <c r="M18" i="9"/>
  <c r="AI18" i="9" s="1"/>
  <c r="M28" i="9"/>
  <c r="AI28" i="9" s="1"/>
  <c r="M34" i="9"/>
  <c r="AI34" i="9" s="1"/>
  <c r="M42" i="9"/>
  <c r="AI42" i="9" s="1"/>
  <c r="M46" i="9"/>
  <c r="AI46" i="9" s="1"/>
  <c r="M58" i="9"/>
  <c r="AI58" i="9" s="1"/>
  <c r="AH12" i="9"/>
  <c r="AH14" i="9"/>
  <c r="AH16" i="9"/>
  <c r="AH22" i="9"/>
  <c r="AH24" i="9"/>
  <c r="AH26" i="9"/>
  <c r="AH30" i="9"/>
  <c r="AH36" i="9"/>
  <c r="AH38" i="9"/>
  <c r="AH40" i="9"/>
  <c r="AH44" i="9"/>
  <c r="AH50" i="9"/>
  <c r="AH52" i="9"/>
  <c r="AH54" i="9"/>
</calcChain>
</file>

<file path=xl/sharedStrings.xml><?xml version="1.0" encoding="utf-8"?>
<sst xmlns="http://schemas.openxmlformats.org/spreadsheetml/2006/main" count="182" uniqueCount="150">
  <si>
    <t>VELTECH RANGA SANKU ARTS COLLEGE</t>
  </si>
  <si>
    <t>DEPARTMENT OF COMPUTER SCIENCE</t>
  </si>
  <si>
    <t>S.NO</t>
  </si>
  <si>
    <t>VANO</t>
  </si>
  <si>
    <t>REGNO</t>
  </si>
  <si>
    <t>NAME</t>
  </si>
  <si>
    <t>TOTAL</t>
  </si>
  <si>
    <t>PASS%</t>
  </si>
  <si>
    <t>RANK</t>
  </si>
  <si>
    <t>VA 6235</t>
  </si>
  <si>
    <t>ABINESH A</t>
  </si>
  <si>
    <t>NIL</t>
  </si>
  <si>
    <t>VA 6240</t>
  </si>
  <si>
    <t>ARUN KUMAR M</t>
  </si>
  <si>
    <t>VA 6246</t>
  </si>
  <si>
    <t>DEVARAJ K</t>
  </si>
  <si>
    <t>VA 6248</t>
  </si>
  <si>
    <t>DHANUSH J</t>
  </si>
  <si>
    <t>VA 6249</t>
  </si>
  <si>
    <t>DHINESH KUMAR R</t>
  </si>
  <si>
    <t>VA 6253</t>
  </si>
  <si>
    <t xml:space="preserve">ELAMARAN D </t>
  </si>
  <si>
    <t>VA 6255</t>
  </si>
  <si>
    <t>GOWTHAM KUMAR M</t>
  </si>
  <si>
    <t>VA 6258</t>
  </si>
  <si>
    <t>IMRAN NASHIR M</t>
  </si>
  <si>
    <t>VA 6259</t>
  </si>
  <si>
    <t>ISRAR AHMED A</t>
  </si>
  <si>
    <t>VA 6260</t>
  </si>
  <si>
    <t>JAI AKASH M</t>
  </si>
  <si>
    <t>VA 6262</t>
  </si>
  <si>
    <t xml:space="preserve">JAWAHAR D	</t>
  </si>
  <si>
    <t>VA 6265</t>
  </si>
  <si>
    <t xml:space="preserve">JOHN EDWIN R	</t>
  </si>
  <si>
    <t>VA 6266</t>
  </si>
  <si>
    <t>KABILAN M</t>
  </si>
  <si>
    <t>VA 6268</t>
  </si>
  <si>
    <t>KARTHIK A</t>
  </si>
  <si>
    <t>VA 6273</t>
  </si>
  <si>
    <t xml:space="preserve">KISHORE N S	</t>
  </si>
  <si>
    <t>VA 6285</t>
  </si>
  <si>
    <t>MOHAMMED BAYAAZ M</t>
  </si>
  <si>
    <t>VA 6289</t>
  </si>
  <si>
    <t>MUKESH P</t>
  </si>
  <si>
    <t>VA 6290</t>
  </si>
  <si>
    <t>NARENDRAN J</t>
  </si>
  <si>
    <t>VA 6291</t>
  </si>
  <si>
    <t>VA 6296</t>
  </si>
  <si>
    <t xml:space="preserve">PIOUS LARA I </t>
  </si>
  <si>
    <t>VA 6305</t>
  </si>
  <si>
    <t>RANJITH K</t>
  </si>
  <si>
    <t>VA 6309</t>
  </si>
  <si>
    <t>SANJAY M</t>
  </si>
  <si>
    <t>VA 6310</t>
  </si>
  <si>
    <t>SANJAY R</t>
  </si>
  <si>
    <t>VA 6311</t>
  </si>
  <si>
    <t>SANJAY S</t>
  </si>
  <si>
    <t>VA 6315</t>
  </si>
  <si>
    <t>SARUGESWARAN S</t>
  </si>
  <si>
    <t>VA 6327</t>
  </si>
  <si>
    <t xml:space="preserve">SUNDARESAN R	</t>
  </si>
  <si>
    <t>VA 6329</t>
  </si>
  <si>
    <t>SURIYA P</t>
  </si>
  <si>
    <t>VA 6330</t>
  </si>
  <si>
    <t>THARUN KUMAR V</t>
  </si>
  <si>
    <t>VA 6331</t>
  </si>
  <si>
    <t>VELSAMY B</t>
  </si>
  <si>
    <t>VA 6334</t>
  </si>
  <si>
    <t>VIJAY R</t>
  </si>
  <si>
    <t>VA 6338</t>
  </si>
  <si>
    <t>YUVARAJ C</t>
  </si>
  <si>
    <t>VA 6245</t>
  </si>
  <si>
    <t>DEEPIKA  S</t>
  </si>
  <si>
    <t>VA 6251</t>
  </si>
  <si>
    <t>DIVYA BHARATHI S</t>
  </si>
  <si>
    <t>VA 6256</t>
  </si>
  <si>
    <t>HARINI R</t>
  </si>
  <si>
    <t>VA 6269</t>
  </si>
  <si>
    <t>KARTHIKA K</t>
  </si>
  <si>
    <t>VA 6288</t>
  </si>
  <si>
    <t>MONISHA S</t>
  </si>
  <si>
    <t>VA 6293</t>
  </si>
  <si>
    <t>PARKAVI M</t>
  </si>
  <si>
    <t>VA 6294</t>
  </si>
  <si>
    <t>PARVEEN BEGUM  A</t>
  </si>
  <si>
    <t>VA 6302</t>
  </si>
  <si>
    <t xml:space="preserve">R SANDHIYA </t>
  </si>
  <si>
    <t>VA 6320</t>
  </si>
  <si>
    <t>SHARMITHAA P</t>
  </si>
  <si>
    <t>VA 6326</t>
  </si>
  <si>
    <t>SUCHITHRA U</t>
  </si>
  <si>
    <t>VA 6328</t>
  </si>
  <si>
    <t>SUPRIYA L</t>
  </si>
  <si>
    <t>VA 6238</t>
  </si>
  <si>
    <t>ANAND KUMAR S</t>
  </si>
  <si>
    <t>VA 6314</t>
  </si>
  <si>
    <t>SARIGASREE S</t>
  </si>
  <si>
    <t>VA 6241</t>
  </si>
  <si>
    <t>BALAMURUGAN   M</t>
  </si>
  <si>
    <t>VA 6281</t>
  </si>
  <si>
    <t xml:space="preserve">MALLELA MAHENDRA </t>
  </si>
  <si>
    <t>VA 6283</t>
  </si>
  <si>
    <t xml:space="preserve">MANIMARAN K	</t>
  </si>
  <si>
    <t>VA 6316</t>
  </si>
  <si>
    <t xml:space="preserve">SATISH H </t>
  </si>
  <si>
    <t>VA 6247</t>
  </si>
  <si>
    <t>DHARIYA M</t>
  </si>
  <si>
    <t>VA 6300</t>
  </si>
  <si>
    <t xml:space="preserve">PRAVEENA R </t>
  </si>
  <si>
    <t>200L3Z</t>
  </si>
  <si>
    <t>225C31</t>
  </si>
  <si>
    <t>225C3A</t>
  </si>
  <si>
    <t>225E3B</t>
  </si>
  <si>
    <t>225S31</t>
  </si>
  <si>
    <t>225S32</t>
  </si>
  <si>
    <t>NMU59</t>
  </si>
  <si>
    <t xml:space="preserve">II BSC A UNIVERSITY EXAM RESULT ANALYSIS   STUDENTS FROM SEM I-III  MARKS                          </t>
  </si>
  <si>
    <t>SEMESTER - I</t>
  </si>
  <si>
    <t>SEMESTER - II</t>
  </si>
  <si>
    <t>SEMESTER - III</t>
  </si>
  <si>
    <t>REGISTER NO</t>
  </si>
  <si>
    <t>VA NO</t>
  </si>
  <si>
    <t>STUDENT NAME</t>
  </si>
  <si>
    <t>100L1A</t>
  </si>
  <si>
    <t>100L1Z</t>
  </si>
  <si>
    <t>125C11</t>
  </si>
  <si>
    <t>125C1A</t>
  </si>
  <si>
    <t>125E1A</t>
  </si>
  <si>
    <t>125B1A</t>
  </si>
  <si>
    <t>125S1A</t>
  </si>
  <si>
    <t>%</t>
  </si>
  <si>
    <t>100L2A</t>
  </si>
  <si>
    <t>100L2Z</t>
  </si>
  <si>
    <t>125C21</t>
  </si>
  <si>
    <t>125C2A</t>
  </si>
  <si>
    <t>125E2A</t>
  </si>
  <si>
    <t>125S2A</t>
  </si>
  <si>
    <t>125S2B</t>
  </si>
  <si>
    <t>NMU40</t>
  </si>
  <si>
    <t>200L3E</t>
  </si>
  <si>
    <t>OVERALL
TOTAL</t>
  </si>
  <si>
    <t>OVERALL
%</t>
  </si>
  <si>
    <t>NO OF ARREARS</t>
  </si>
  <si>
    <t>ABSENT</t>
  </si>
  <si>
    <t>RA</t>
  </si>
  <si>
    <t>NILL</t>
  </si>
  <si>
    <t xml:space="preserve">NAVANEETHA KRISHNAN J	</t>
  </si>
  <si>
    <t>ARREAR COUNT</t>
  </si>
  <si>
    <t>PASS/FAIL</t>
  </si>
  <si>
    <t>[Department]  UNIVERSITY OF MADRAS EXAM RESULT ANALYSIS [month - year]                                       
 DATE OF RESULT: [date-month-year]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</si>
</sst>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charset val="134"/>
      <scheme val="minor"/>
    </font>
    <font>
      <sz val="10"/>
      <name val="Arial"/>
      <charset val="134"/>
    </font>
    <font>
      <sz val="16"/>
      <color theme="1"/>
      <name val="Times New Roman"/>
      <charset val="134"/>
    </font>
    <font>
      <sz val="11"/>
      <color rgb="FF000000"/>
      <name val="Calibri"/>
      <charset val="134"/>
      <scheme val="minor"/>
    </font>
    <font>
      <b/>
      <sz val="50"/>
      <color rgb="FF000000"/>
      <name val="Bookman Old Style"/>
      <charset val="134"/>
    </font>
    <font>
      <sz val="11"/>
      <color rgb="FF000000"/>
      <name val="Calibri"/>
      <charset val="134"/>
    </font>
    <font>
      <sz val="14"/>
      <color rgb="FF000000"/>
      <name val="Bookman Old Style"/>
      <charset val="134"/>
    </font>
    <font>
      <b/>
      <sz val="60"/>
      <color rgb="FF000000"/>
      <name val="Bookman Old Style"/>
      <charset val="134"/>
    </font>
    <font>
      <b/>
      <sz val="25"/>
      <color rgb="FF000000"/>
      <name val="Bookman Old Style"/>
      <charset val="134"/>
    </font>
    <font>
      <sz val="24"/>
      <name val="Times New Roman"/>
      <charset val="134"/>
    </font>
    <font>
      <sz val="16"/>
      <name val="Times New Roman"/>
      <charset val="134"/>
    </font>
    <font>
      <b/>
      <sz val="26"/>
      <color rgb="FF000000"/>
      <name val="Bookman Old Style"/>
      <charset val="134"/>
    </font>
    <font>
      <b/>
      <sz val="24"/>
      <name val="Times New Roman"/>
      <charset val="134"/>
    </font>
    <font>
      <b/>
      <sz val="16"/>
      <name val="Times New Roman"/>
      <charset val="134"/>
    </font>
    <font>
      <sz val="16"/>
      <color rgb="FFFF0000"/>
      <name val="Times New Roman"/>
      <charset val="134"/>
    </font>
    <font>
      <b/>
      <sz val="16"/>
      <color rgb="FF0000FF"/>
      <name val="Times New Roman"/>
      <charset val="134"/>
    </font>
    <font>
      <sz val="60"/>
      <color rgb="FF000000"/>
      <name val="Calibri"/>
      <charset val="134"/>
      <scheme val="minor"/>
    </font>
    <font>
      <sz val="72"/>
      <color rgb="FF000000"/>
      <name val="Bookman Old Style"/>
      <charset val="134"/>
    </font>
    <font>
      <sz val="48"/>
      <color rgb="FF000000"/>
      <name val="Calibri"/>
      <charset val="134"/>
      <scheme val="minor"/>
    </font>
    <font>
      <b/>
      <sz val="90"/>
      <color rgb="FF000000"/>
      <name val="Bookman Old Style"/>
      <charset val="134"/>
    </font>
    <font>
      <b/>
      <sz val="38"/>
      <color rgb="FF000000"/>
      <name val="Bookman Old Style"/>
      <charset val="134"/>
    </font>
    <font>
      <sz val="38"/>
      <color rgb="FF000000"/>
      <name val="Calibri"/>
      <charset val="134"/>
    </font>
    <font>
      <sz val="60"/>
      <color rgb="FF000000"/>
      <name val="Bookman Old Style"/>
      <charset val="134"/>
    </font>
    <font>
      <sz val="22"/>
      <color rgb="FF000000"/>
      <name val="Bookman Old Style"/>
      <charset val="134"/>
    </font>
    <font>
      <sz val="48"/>
      <color rgb="FF000000"/>
      <name val="Calibri"/>
      <charset val="134"/>
    </font>
    <font>
      <b/>
      <sz val="48"/>
      <color rgb="FF000000"/>
      <name val="Bookman Old Style"/>
      <charset val="134"/>
    </font>
    <font>
      <sz val="11"/>
      <color rgb="FF000000"/>
      <name val="Bookman Old Style"/>
      <charset val="134"/>
    </font>
    <font>
      <b/>
      <sz val="22"/>
      <color rgb="FF000000"/>
      <name val="Bookman Old Style"/>
      <charset val="134"/>
    </font>
    <font>
      <b/>
      <sz val="72"/>
      <color rgb="FF000000"/>
      <name val="Bookman Old Style"/>
      <charset val="134"/>
    </font>
    <font>
      <sz val="18"/>
      <color rgb="FF000000"/>
      <name val="Bookman Old Style"/>
      <charset val="134"/>
    </font>
    <font>
      <b/>
      <sz val="11"/>
      <color rgb="FF000000"/>
      <name val="Bookman Old Style"/>
      <charset val="134"/>
    </font>
    <font>
      <b/>
      <sz val="18"/>
      <color rgb="FF000000"/>
      <name val="Bookman Old Style"/>
      <charset val="134"/>
    </font>
    <font>
      <b/>
      <sz val="14"/>
      <color rgb="FF000000"/>
      <name val="Bookman Old Style"/>
      <charset val="134"/>
    </font>
    <font>
      <sz val="11"/>
      <color theme="1"/>
      <name val="Calibri"/>
      <charset val="134"/>
    </font>
    <font>
      <sz val="11"/>
      <color theme="1"/>
      <name val="Calibri"/>
      <charset val="134"/>
      <scheme val="minor"/>
    </font>
    <font>
      <b/>
      <sz val="90"/>
      <color rgb="FF000000"/>
      <name val="Bookman Old Style"/>
      <family val="1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DB3E2"/>
        <bgColor rgb="FF8DB3E2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1">
    <xf numFmtId="0" fontId="0" fillId="0" borderId="0"/>
    <xf numFmtId="0" fontId="34" fillId="0" borderId="0"/>
    <xf numFmtId="0" fontId="3" fillId="0" borderId="0"/>
    <xf numFmtId="0" fontId="33" fillId="0" borderId="0"/>
    <xf numFmtId="0" fontId="1" fillId="0" borderId="0"/>
    <xf numFmtId="0" fontId="1" fillId="0" borderId="0"/>
    <xf numFmtId="0" fontId="34" fillId="0" borderId="0"/>
    <xf numFmtId="0" fontId="3" fillId="0" borderId="0"/>
    <xf numFmtId="0" fontId="34" fillId="0" borderId="0"/>
    <xf numFmtId="0" fontId="3" fillId="0" borderId="0"/>
    <xf numFmtId="0" fontId="34" fillId="0" borderId="0"/>
  </cellStyleXfs>
  <cellXfs count="99">
    <xf numFmtId="0" fontId="0" fillId="0" borderId="0" xfId="0"/>
    <xf numFmtId="0" fontId="1" fillId="0" borderId="0" xfId="4"/>
    <xf numFmtId="0" fontId="2" fillId="0" borderId="4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3" xfId="1" applyFont="1" applyBorder="1" applyAlignment="1">
      <alignment horizontal="left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9" fillId="0" borderId="0" xfId="4" applyFont="1"/>
    <xf numFmtId="0" fontId="10" fillId="0" borderId="0" xfId="4" applyFont="1"/>
    <xf numFmtId="0" fontId="10" fillId="2" borderId="0" xfId="4" applyFont="1" applyFill="1"/>
    <xf numFmtId="0" fontId="1" fillId="0" borderId="0" xfId="4" applyAlignment="1">
      <alignment horizontal="center" vertical="center"/>
    </xf>
    <xf numFmtId="0" fontId="1" fillId="0" borderId="0" xfId="4" applyAlignment="1">
      <alignment horizontal="left" vertical="center"/>
    </xf>
    <xf numFmtId="0" fontId="9" fillId="0" borderId="1" xfId="4" applyFont="1" applyBorder="1"/>
    <xf numFmtId="0" fontId="9" fillId="0" borderId="1" xfId="4" applyFont="1" applyBorder="1" applyAlignment="1">
      <alignment horizontal="center" vertical="center"/>
    </xf>
    <xf numFmtId="0" fontId="9" fillId="0" borderId="1" xfId="4" applyFont="1" applyBorder="1" applyAlignment="1">
      <alignment horizontal="left" vertical="center"/>
    </xf>
    <xf numFmtId="0" fontId="13" fillId="0" borderId="1" xfId="4" applyFont="1" applyBorder="1" applyAlignment="1">
      <alignment horizontal="left" vertical="center"/>
    </xf>
    <xf numFmtId="0" fontId="13" fillId="0" borderId="1" xfId="4" applyFont="1" applyBorder="1" applyAlignment="1">
      <alignment horizontal="center" vertical="center"/>
    </xf>
    <xf numFmtId="0" fontId="13" fillId="0" borderId="10" xfId="4" applyFont="1" applyBorder="1" applyAlignment="1">
      <alignment horizontal="center" vertical="center"/>
    </xf>
    <xf numFmtId="0" fontId="13" fillId="0" borderId="11" xfId="4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2" fillId="0" borderId="5" xfId="1" applyFont="1" applyBorder="1" applyAlignment="1">
      <alignment horizontal="left" vertical="center"/>
    </xf>
    <xf numFmtId="0" fontId="10" fillId="0" borderId="1" xfId="4" applyFont="1" applyBorder="1" applyAlignment="1">
      <alignment horizontal="center" vertical="center"/>
    </xf>
    <xf numFmtId="0" fontId="13" fillId="2" borderId="1" xfId="4" applyFont="1" applyFill="1" applyBorder="1" applyAlignment="1">
      <alignment horizontal="center" vertical="center"/>
    </xf>
    <xf numFmtId="0" fontId="2" fillId="2" borderId="6" xfId="1" applyFont="1" applyFill="1" applyBorder="1" applyAlignment="1">
      <alignment horizontal="center" vertical="center"/>
    </xf>
    <xf numFmtId="0" fontId="2" fillId="2" borderId="7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left" vertical="center"/>
    </xf>
    <xf numFmtId="0" fontId="10" fillId="2" borderId="1" xfId="4" applyFont="1" applyFill="1" applyBorder="1" applyAlignment="1">
      <alignment horizontal="center" vertical="center"/>
    </xf>
    <xf numFmtId="0" fontId="14" fillId="0" borderId="1" xfId="4" applyFont="1" applyBorder="1" applyAlignment="1">
      <alignment horizontal="center" vertical="center"/>
    </xf>
    <xf numFmtId="0" fontId="12" fillId="0" borderId="13" xfId="4" applyFont="1" applyBorder="1" applyAlignment="1">
      <alignment horizontal="center"/>
    </xf>
    <xf numFmtId="0" fontId="13" fillId="0" borderId="1" xfId="4" applyFont="1" applyBorder="1" applyAlignment="1">
      <alignment horizontal="center" vertical="center" wrapText="1"/>
    </xf>
    <xf numFmtId="1" fontId="10" fillId="0" borderId="1" xfId="4" applyNumberFormat="1" applyFont="1" applyBorder="1" applyAlignment="1">
      <alignment horizontal="center" vertical="center"/>
    </xf>
    <xf numFmtId="1" fontId="10" fillId="2" borderId="1" xfId="4" applyNumberFormat="1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horizontal="center" vertical="center"/>
    </xf>
    <xf numFmtId="0" fontId="14" fillId="0" borderId="1" xfId="4" applyFont="1" applyBorder="1" applyAlignment="1">
      <alignment horizontal="center"/>
    </xf>
    <xf numFmtId="0" fontId="13" fillId="0" borderId="10" xfId="4" applyFont="1" applyBorder="1" applyAlignment="1">
      <alignment horizontal="center" vertical="center" wrapText="1"/>
    </xf>
    <xf numFmtId="0" fontId="15" fillId="0" borderId="1" xfId="4" applyFont="1" applyBorder="1" applyAlignment="1">
      <alignment horizontal="center"/>
    </xf>
    <xf numFmtId="0" fontId="10" fillId="0" borderId="1" xfId="4" applyFont="1" applyBorder="1"/>
    <xf numFmtId="0" fontId="15" fillId="2" borderId="1" xfId="4" applyFont="1" applyFill="1" applyBorder="1" applyAlignment="1">
      <alignment horizontal="center"/>
    </xf>
    <xf numFmtId="0" fontId="10" fillId="2" borderId="1" xfId="4" applyFont="1" applyFill="1" applyBorder="1"/>
    <xf numFmtId="0" fontId="16" fillId="0" borderId="0" xfId="2" applyFont="1"/>
    <xf numFmtId="0" fontId="3" fillId="0" borderId="0" xfId="2"/>
    <xf numFmtId="0" fontId="18" fillId="0" borderId="0" xfId="2" applyFont="1"/>
    <xf numFmtId="0" fontId="20" fillId="0" borderId="0" xfId="2" applyFont="1" applyAlignment="1">
      <alignment horizontal="center" vertical="center" wrapText="1"/>
    </xf>
    <xf numFmtId="0" fontId="21" fillId="0" borderId="0" xfId="2" applyFont="1"/>
    <xf numFmtId="0" fontId="4" fillId="3" borderId="1" xfId="2" applyFont="1" applyFill="1" applyBorder="1" applyAlignment="1">
      <alignment horizontal="center" vertical="center" wrapText="1"/>
    </xf>
    <xf numFmtId="0" fontId="23" fillId="0" borderId="0" xfId="2" applyFont="1" applyAlignment="1">
      <alignment horizontal="center" vertical="center" wrapText="1"/>
    </xf>
    <xf numFmtId="0" fontId="24" fillId="0" borderId="0" xfId="2" applyFont="1"/>
    <xf numFmtId="0" fontId="25" fillId="3" borderId="1" xfId="2" applyFont="1" applyFill="1" applyBorder="1" applyAlignment="1">
      <alignment horizontal="center" vertical="center" wrapText="1"/>
    </xf>
    <xf numFmtId="0" fontId="8" fillId="0" borderId="0" xfId="2" applyFont="1" applyAlignment="1">
      <alignment vertical="center" wrapText="1"/>
    </xf>
    <xf numFmtId="0" fontId="5" fillId="0" borderId="0" xfId="2" applyFont="1"/>
    <xf numFmtId="0" fontId="26" fillId="0" borderId="0" xfId="2" applyFont="1"/>
    <xf numFmtId="0" fontId="26" fillId="0" borderId="0" xfId="2" applyFont="1" applyAlignment="1">
      <alignment horizontal="center"/>
    </xf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vertical="center"/>
    </xf>
    <xf numFmtId="0" fontId="23" fillId="0" borderId="0" xfId="2" applyFont="1" applyAlignment="1">
      <alignment horizontal="center"/>
    </xf>
    <xf numFmtId="0" fontId="27" fillId="0" borderId="0" xfId="2" applyFont="1" applyAlignment="1">
      <alignment horizontal="center" vertical="center"/>
    </xf>
    <xf numFmtId="0" fontId="27" fillId="0" borderId="0" xfId="2" applyFont="1" applyAlignment="1">
      <alignment horizontal="center"/>
    </xf>
    <xf numFmtId="0" fontId="28" fillId="0" borderId="0" xfId="2" applyFont="1" applyAlignment="1">
      <alignment vertical="center"/>
    </xf>
    <xf numFmtId="0" fontId="28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7" fillId="0" borderId="0" xfId="2" applyFont="1" applyAlignment="1">
      <alignment vertical="center"/>
    </xf>
    <xf numFmtId="0" fontId="17" fillId="0" borderId="0" xfId="2" applyFont="1" applyAlignment="1">
      <alignment horizontal="center"/>
    </xf>
    <xf numFmtId="0" fontId="29" fillId="0" borderId="0" xfId="2" applyFont="1"/>
    <xf numFmtId="0" fontId="29" fillId="0" borderId="0" xfId="2" applyFont="1" applyAlignment="1">
      <alignment horizontal="center"/>
    </xf>
    <xf numFmtId="0" fontId="29" fillId="0" borderId="0" xfId="2" applyFont="1" applyAlignment="1">
      <alignment horizontal="center" vertical="center"/>
    </xf>
    <xf numFmtId="0" fontId="29" fillId="0" borderId="0" xfId="2" applyFont="1" applyAlignment="1">
      <alignment vertical="center"/>
    </xf>
    <xf numFmtId="0" fontId="6" fillId="0" borderId="0" xfId="2" applyFont="1" applyAlignment="1">
      <alignment horizontal="center" vertical="center" wrapText="1"/>
    </xf>
    <xf numFmtId="0" fontId="23" fillId="0" borderId="0" xfId="2" applyFont="1" applyAlignment="1">
      <alignment horizontal="center" wrapText="1"/>
    </xf>
    <xf numFmtId="0" fontId="30" fillId="0" borderId="0" xfId="2" applyFont="1" applyAlignment="1">
      <alignment horizontal="center"/>
    </xf>
    <xf numFmtId="0" fontId="28" fillId="0" borderId="0" xfId="2" applyFont="1" applyAlignment="1">
      <alignment horizontal="center"/>
    </xf>
    <xf numFmtId="0" fontId="31" fillId="0" borderId="0" xfId="2" applyFont="1" applyAlignment="1">
      <alignment horizontal="center"/>
    </xf>
    <xf numFmtId="0" fontId="6" fillId="0" borderId="0" xfId="2" applyFont="1" applyAlignment="1">
      <alignment horizontal="center" wrapText="1"/>
    </xf>
    <xf numFmtId="0" fontId="32" fillId="0" borderId="0" xfId="2" applyFont="1" applyAlignment="1">
      <alignment horizontal="center" wrapText="1"/>
    </xf>
    <xf numFmtId="0" fontId="25" fillId="0" borderId="0" xfId="2" applyFont="1" applyAlignment="1">
      <alignment horizontal="center"/>
    </xf>
    <xf numFmtId="0" fontId="7" fillId="0" borderId="0" xfId="2" applyFont="1" applyAlignment="1">
      <alignment horizontal="center"/>
    </xf>
    <xf numFmtId="0" fontId="25" fillId="0" borderId="0" xfId="2" applyFont="1" applyAlignment="1">
      <alignment horizontal="center" wrapText="1"/>
    </xf>
    <xf numFmtId="0" fontId="7" fillId="0" borderId="0" xfId="2" applyFont="1"/>
    <xf numFmtId="0" fontId="22" fillId="0" borderId="0" xfId="2" applyFont="1"/>
    <xf numFmtId="0" fontId="19" fillId="0" borderId="0" xfId="2" applyFont="1" applyAlignment="1">
      <alignment horizontal="center" vertical="center" wrapText="1"/>
    </xf>
    <xf numFmtId="0" fontId="35" fillId="0" borderId="0" xfId="2" applyFont="1" applyAlignment="1">
      <alignment horizontal="center" vertical="center" wrapText="1"/>
    </xf>
    <xf numFmtId="0" fontId="4" fillId="3" borderId="2" xfId="2" applyFont="1" applyFill="1" applyBorder="1" applyAlignment="1">
      <alignment horizontal="center" vertical="center" wrapText="1"/>
    </xf>
    <xf numFmtId="0" fontId="4" fillId="3" borderId="13" xfId="2" applyFont="1" applyFill="1" applyBorder="1" applyAlignment="1">
      <alignment horizontal="center" vertical="center" wrapText="1"/>
    </xf>
    <xf numFmtId="0" fontId="4" fillId="3" borderId="10" xfId="2" applyFont="1" applyFill="1" applyBorder="1" applyAlignment="1">
      <alignment horizontal="center" vertical="center" wrapText="1"/>
    </xf>
    <xf numFmtId="0" fontId="4" fillId="3" borderId="15" xfId="2" applyFont="1" applyFill="1" applyBorder="1" applyAlignment="1">
      <alignment horizontal="center" vertical="center" wrapText="1"/>
    </xf>
    <xf numFmtId="0" fontId="4" fillId="3" borderId="11" xfId="2" applyFont="1" applyFill="1" applyBorder="1" applyAlignment="1">
      <alignment horizontal="center" vertical="center" wrapText="1"/>
    </xf>
    <xf numFmtId="0" fontId="23" fillId="0" borderId="14" xfId="2" applyFont="1" applyBorder="1" applyAlignment="1">
      <alignment horizontal="center" vertical="center" wrapText="1"/>
    </xf>
    <xf numFmtId="0" fontId="4" fillId="3" borderId="15" xfId="2" applyFont="1" applyFill="1" applyBorder="1" applyAlignment="1">
      <alignment horizontal="center" vertical="center"/>
    </xf>
    <xf numFmtId="0" fontId="4" fillId="3" borderId="11" xfId="2" applyFont="1" applyFill="1" applyBorder="1" applyAlignment="1">
      <alignment horizontal="center" vertical="center"/>
    </xf>
    <xf numFmtId="0" fontId="11" fillId="0" borderId="0" xfId="7" applyFont="1" applyAlignment="1">
      <alignment horizontal="center" vertical="center" wrapText="1"/>
    </xf>
    <xf numFmtId="0" fontId="12" fillId="0" borderId="1" xfId="4" applyFont="1" applyBorder="1" applyAlignment="1">
      <alignment horizontal="center"/>
    </xf>
    <xf numFmtId="0" fontId="12" fillId="0" borderId="2" xfId="4" applyFont="1" applyBorder="1" applyAlignment="1">
      <alignment horizontal="center"/>
    </xf>
    <xf numFmtId="0" fontId="12" fillId="0" borderId="13" xfId="4" applyFont="1" applyBorder="1" applyAlignment="1">
      <alignment horizontal="center"/>
    </xf>
    <xf numFmtId="0" fontId="12" fillId="0" borderId="10" xfId="4" applyFont="1" applyBorder="1" applyAlignment="1">
      <alignment horizontal="center"/>
    </xf>
    <xf numFmtId="0" fontId="9" fillId="0" borderId="2" xfId="4" applyFont="1" applyBorder="1" applyAlignment="1">
      <alignment horizontal="center"/>
    </xf>
    <xf numFmtId="0" fontId="9" fillId="0" borderId="13" xfId="4" applyFont="1" applyBorder="1" applyAlignment="1">
      <alignment horizontal="center"/>
    </xf>
    <xf numFmtId="0" fontId="9" fillId="0" borderId="10" xfId="4" applyFont="1" applyBorder="1" applyAlignment="1">
      <alignment horizontal="center"/>
    </xf>
  </cellXfs>
  <cellStyles count="11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3" xr:uid="{00000000-0005-0000-0000-000003000000}"/>
    <cellStyle name="Normal 2 2 4" xfId="4" xr:uid="{00000000-0005-0000-0000-000004000000}"/>
    <cellStyle name="Normal 2 3" xfId="5" xr:uid="{00000000-0005-0000-0000-000005000000}"/>
    <cellStyle name="Normal 2 4" xfId="6" xr:uid="{00000000-0005-0000-0000-000006000000}"/>
    <cellStyle name="Normal 3" xfId="7" xr:uid="{00000000-0005-0000-0000-000007000000}"/>
    <cellStyle name="Normal 4 3" xfId="8" xr:uid="{00000000-0005-0000-0000-000008000000}"/>
    <cellStyle name="Normal 7" xfId="9" xr:uid="{00000000-0005-0000-0000-000009000000}"/>
    <cellStyle name="Normal 8 2" xfId="10" xr:uid="{00000000-0005-0000-0000-00000A000000}"/>
  </cellStyles>
  <dxfs count="10">
    <dxf>
      <font>
        <b/>
        <i val="0"/>
        <color indexed="17"/>
      </font>
    </dxf>
    <dxf>
      <font>
        <b/>
        <i val="0"/>
        <color indexed="12"/>
      </font>
    </dxf>
    <dxf>
      <font>
        <b/>
        <i val="0"/>
        <color indexed="10"/>
      </font>
      <fill>
        <patternFill patternType="none"/>
      </fill>
    </dxf>
    <dxf>
      <font>
        <color indexed="12"/>
      </font>
    </dxf>
    <dxf>
      <font>
        <color indexed="10"/>
      </font>
    </dxf>
    <dxf>
      <font>
        <color indexed="10"/>
      </font>
    </dxf>
    <dxf>
      <font>
        <color indexed="12"/>
      </font>
    </dxf>
    <dxf>
      <font>
        <color indexed="10"/>
      </font>
    </dxf>
    <dxf>
      <font>
        <color indexed="10"/>
      </font>
    </dxf>
    <dxf>
      <fill>
        <patternFill patternType="solid">
          <fgColor rgb="FFFFCC99"/>
          <bgColor rgb="FFFFCC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1259045</xdr:colOff>
      <xdr:row>0</xdr:row>
      <xdr:rowOff>571500</xdr:rowOff>
    </xdr:from>
    <xdr:ext cx="6720840" cy="618744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704295" y="571500"/>
          <a:ext cx="6720840" cy="618744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19439</xdr:colOff>
      <xdr:row>0</xdr:row>
      <xdr:rowOff>238449</xdr:rowOff>
    </xdr:from>
    <xdr:ext cx="1095375" cy="971549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" y="238125"/>
          <a:ext cx="1095375" cy="971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AI940"/>
  <sheetViews>
    <sheetView tabSelected="1" view="pageBreakPreview" zoomScale="24" zoomScaleNormal="40" zoomScaleSheetLayoutView="10" workbookViewId="0">
      <selection activeCell="A3" sqref="A3:AF3"/>
    </sheetView>
  </sheetViews>
  <sheetFormatPr defaultColWidth="14.44140625" defaultRowHeight="15" customHeight="1"/>
  <cols>
    <col min="1" max="1" width="37.6640625" style="43" customWidth="1"/>
    <col min="2" max="2" width="56.33203125" style="43" customWidth="1"/>
    <col min="3" max="3" width="72.5546875" style="43" customWidth="1"/>
    <col min="4" max="4" width="132.44140625" style="43" customWidth="1"/>
    <col min="5" max="6" width="25.6640625" style="43" customWidth="1"/>
    <col min="7" max="7" width="31.5546875" style="43" customWidth="1"/>
    <col min="8" max="9" width="25.6640625" style="43" customWidth="1"/>
    <col min="10" max="10" width="32.44140625" style="43" customWidth="1"/>
    <col min="11" max="12" width="25.6640625" style="43" customWidth="1"/>
    <col min="13" max="13" width="44.88671875" style="43" customWidth="1"/>
    <col min="14" max="18" width="25.6640625" style="43" customWidth="1"/>
    <col min="19" max="19" width="36" style="43" customWidth="1"/>
    <col min="20" max="21" width="25.6640625" style="43" customWidth="1"/>
    <col min="22" max="22" width="31.5546875" style="43" customWidth="1"/>
    <col min="23" max="24" width="25.6640625" style="43" customWidth="1"/>
    <col min="25" max="25" width="28.88671875" style="43" customWidth="1"/>
    <col min="26" max="26" width="25.6640625" style="43" customWidth="1"/>
    <col min="27" max="27" width="25.6640625" style="44" customWidth="1"/>
    <col min="28" max="28" width="32" style="43" customWidth="1"/>
    <col min="29" max="29" width="41.33203125" style="43" bestFit="1" customWidth="1"/>
    <col min="30" max="30" width="29.6640625" style="43" customWidth="1"/>
    <col min="31" max="31" width="33.33203125" style="43" customWidth="1"/>
    <col min="32" max="32" width="38.6640625" style="43" customWidth="1"/>
    <col min="33" max="33" width="11.5546875" style="43" customWidth="1"/>
    <col min="34" max="34" width="8" style="43" customWidth="1"/>
    <col min="35" max="35" width="7.5546875" style="43" customWidth="1"/>
    <col min="36" max="16384" width="14.44140625" style="43"/>
  </cols>
  <sheetData>
    <row r="1" spans="1:35" ht="85.95" customHeight="1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51"/>
      <c r="AH1" s="51"/>
      <c r="AI1" s="53"/>
    </row>
    <row r="2" spans="1:35" ht="155.4" customHeight="1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51"/>
      <c r="AH2" s="51"/>
      <c r="AI2" s="53"/>
    </row>
    <row r="3" spans="1:35" ht="298.95" customHeight="1">
      <c r="A3" s="82" t="s">
        <v>149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51"/>
      <c r="AH3" s="51"/>
      <c r="AI3" s="53"/>
    </row>
    <row r="4" spans="1:35" ht="39" customHeight="1">
      <c r="A4" s="45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9"/>
      <c r="AB4" s="46"/>
      <c r="AC4" s="46"/>
      <c r="AD4" s="46"/>
      <c r="AE4" s="46"/>
      <c r="AF4" s="46"/>
      <c r="AG4" s="51"/>
      <c r="AH4" s="51"/>
      <c r="AI4" s="53"/>
    </row>
    <row r="5" spans="1:35" ht="194.1" customHeight="1">
      <c r="A5" s="86" t="s">
        <v>2</v>
      </c>
      <c r="B5" s="86" t="s">
        <v>3</v>
      </c>
      <c r="C5" s="86" t="s">
        <v>4</v>
      </c>
      <c r="D5" s="86" t="s">
        <v>5</v>
      </c>
      <c r="E5" s="83"/>
      <c r="F5" s="84"/>
      <c r="G5" s="85"/>
      <c r="H5" s="83"/>
      <c r="I5" s="84"/>
      <c r="J5" s="85"/>
      <c r="K5" s="83"/>
      <c r="L5" s="84"/>
      <c r="M5" s="85"/>
      <c r="N5" s="83"/>
      <c r="O5" s="84"/>
      <c r="P5" s="85"/>
      <c r="Q5" s="83"/>
      <c r="R5" s="84"/>
      <c r="S5" s="85"/>
      <c r="T5" s="83"/>
      <c r="U5" s="84"/>
      <c r="V5" s="85"/>
      <c r="W5" s="83"/>
      <c r="X5" s="84"/>
      <c r="Y5" s="85"/>
      <c r="Z5" s="83"/>
      <c r="AA5" s="84"/>
      <c r="AB5" s="85"/>
      <c r="AC5" s="89" t="s">
        <v>6</v>
      </c>
      <c r="AD5" s="86" t="s">
        <v>7</v>
      </c>
      <c r="AE5" s="86" t="s">
        <v>147</v>
      </c>
      <c r="AF5" s="86" t="s">
        <v>148</v>
      </c>
      <c r="AG5" s="52"/>
      <c r="AH5" s="52"/>
      <c r="AI5" s="52"/>
    </row>
    <row r="6" spans="1:35" ht="303.89999999999998" customHeight="1">
      <c r="A6" s="87"/>
      <c r="B6" s="87"/>
      <c r="C6" s="87"/>
      <c r="D6" s="8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50"/>
      <c r="AB6" s="47"/>
      <c r="AC6" s="90"/>
      <c r="AD6" s="87"/>
      <c r="AE6" s="87"/>
      <c r="AF6" s="87"/>
      <c r="AG6" s="52"/>
      <c r="AH6" s="52"/>
      <c r="AI6" s="52"/>
    </row>
    <row r="7" spans="1:35" ht="81.75" customHeight="1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  <c r="AB7" s="88"/>
      <c r="AC7" s="88"/>
      <c r="AD7" s="88"/>
      <c r="AE7" s="88"/>
      <c r="AF7" s="88"/>
      <c r="AG7" s="53"/>
      <c r="AH7" s="53"/>
      <c r="AI7" s="53"/>
    </row>
    <row r="8" spans="1:35" ht="22.5" customHeight="1">
      <c r="A8" s="53"/>
      <c r="B8" s="54"/>
      <c r="C8" s="55"/>
      <c r="D8" s="56"/>
      <c r="E8" s="57"/>
      <c r="F8" s="57"/>
      <c r="G8" s="57"/>
      <c r="H8" s="57"/>
      <c r="I8" s="57"/>
      <c r="J8" s="54"/>
      <c r="K8" s="54"/>
      <c r="L8" s="54"/>
      <c r="M8" s="54"/>
      <c r="N8" s="54"/>
      <c r="O8" s="54"/>
      <c r="P8" s="71"/>
      <c r="Q8" s="54"/>
      <c r="R8" s="54"/>
      <c r="S8" s="71"/>
      <c r="T8" s="71"/>
      <c r="U8" s="71"/>
      <c r="V8" s="71"/>
      <c r="W8" s="71"/>
      <c r="X8" s="71"/>
      <c r="Y8" s="71"/>
      <c r="Z8" s="71"/>
      <c r="AA8" s="76"/>
      <c r="AB8" s="71"/>
      <c r="AC8" s="71"/>
      <c r="AD8" s="71"/>
      <c r="AE8" s="71"/>
      <c r="AF8" s="71"/>
      <c r="AG8" s="53"/>
      <c r="AH8" s="53"/>
      <c r="AI8" s="53"/>
    </row>
    <row r="9" spans="1:35" ht="22.5" customHeight="1">
      <c r="A9" s="53"/>
      <c r="B9" s="54"/>
      <c r="C9" s="55"/>
      <c r="D9" s="56"/>
      <c r="E9" s="57"/>
      <c r="F9" s="57"/>
      <c r="G9" s="57"/>
      <c r="H9" s="57"/>
      <c r="I9" s="57"/>
      <c r="J9" s="54"/>
      <c r="K9" s="54"/>
      <c r="L9" s="54"/>
      <c r="M9" s="54"/>
      <c r="N9" s="54"/>
      <c r="O9" s="54"/>
      <c r="P9" s="71"/>
      <c r="Q9" s="54"/>
      <c r="R9" s="54"/>
      <c r="S9" s="71"/>
      <c r="T9" s="71"/>
      <c r="U9" s="71"/>
      <c r="V9" s="71"/>
      <c r="W9" s="71"/>
      <c r="X9" s="71"/>
      <c r="Y9" s="71"/>
      <c r="Z9" s="71"/>
      <c r="AA9" s="76"/>
      <c r="AB9" s="71"/>
      <c r="AC9" s="71"/>
      <c r="AD9" s="71"/>
      <c r="AE9" s="71"/>
      <c r="AF9" s="71"/>
      <c r="AG9" s="53"/>
      <c r="AH9" s="53"/>
      <c r="AI9" s="53"/>
    </row>
    <row r="10" spans="1:35" ht="22.5" customHeight="1">
      <c r="A10" s="53"/>
      <c r="B10" s="54"/>
      <c r="C10" s="55"/>
      <c r="D10" s="56"/>
      <c r="E10" s="57"/>
      <c r="F10" s="57"/>
      <c r="G10" s="57"/>
      <c r="H10" s="57"/>
      <c r="I10" s="57"/>
      <c r="J10" s="54"/>
      <c r="K10" s="54"/>
      <c r="L10" s="54"/>
      <c r="M10" s="54"/>
      <c r="N10" s="54"/>
      <c r="O10" s="54"/>
      <c r="P10" s="71"/>
      <c r="Q10" s="54"/>
      <c r="R10" s="54"/>
      <c r="S10" s="71"/>
      <c r="T10" s="71"/>
      <c r="U10" s="71"/>
      <c r="V10" s="71"/>
      <c r="W10" s="71"/>
      <c r="X10" s="71"/>
      <c r="Y10" s="71"/>
      <c r="Z10" s="71"/>
      <c r="AA10" s="76"/>
      <c r="AB10" s="71"/>
      <c r="AC10" s="71"/>
      <c r="AD10" s="71"/>
      <c r="AE10" s="71"/>
      <c r="AF10" s="71"/>
      <c r="AG10" s="53"/>
      <c r="AH10" s="53"/>
      <c r="AI10" s="53"/>
    </row>
    <row r="11" spans="1:35" ht="22.5" customHeight="1">
      <c r="A11" s="53"/>
      <c r="B11" s="54"/>
      <c r="C11" s="55"/>
      <c r="D11" s="56"/>
      <c r="E11" s="57"/>
      <c r="F11" s="57"/>
      <c r="G11" s="57"/>
      <c r="H11" s="57"/>
      <c r="I11" s="57"/>
      <c r="J11" s="54"/>
      <c r="K11" s="54"/>
      <c r="L11" s="54"/>
      <c r="M11" s="54"/>
      <c r="N11" s="54"/>
      <c r="O11" s="54"/>
      <c r="P11" s="71"/>
      <c r="Q11" s="54"/>
      <c r="R11" s="54"/>
      <c r="S11" s="71"/>
      <c r="T11" s="71"/>
      <c r="U11" s="71"/>
      <c r="V11" s="71"/>
      <c r="W11" s="71"/>
      <c r="X11" s="71"/>
      <c r="Y11" s="71"/>
      <c r="Z11" s="71"/>
      <c r="AA11" s="76"/>
      <c r="AB11" s="71"/>
      <c r="AC11" s="71"/>
      <c r="AD11" s="71"/>
      <c r="AE11" s="71"/>
      <c r="AF11" s="71"/>
      <c r="AG11" s="53"/>
      <c r="AH11" s="53"/>
      <c r="AI11" s="53"/>
    </row>
    <row r="12" spans="1:35" ht="22.5" customHeight="1">
      <c r="A12" s="53"/>
      <c r="B12" s="54"/>
      <c r="C12" s="55"/>
      <c r="D12" s="56"/>
      <c r="E12" s="57"/>
      <c r="F12" s="57"/>
      <c r="G12" s="57"/>
      <c r="H12" s="57"/>
      <c r="I12" s="57"/>
      <c r="J12" s="54"/>
      <c r="K12" s="54"/>
      <c r="L12" s="54"/>
      <c r="M12" s="54"/>
      <c r="N12" s="54"/>
      <c r="O12" s="54"/>
      <c r="P12" s="71"/>
      <c r="Q12" s="54"/>
      <c r="R12" s="54"/>
      <c r="S12" s="71"/>
      <c r="T12" s="71"/>
      <c r="U12" s="71"/>
      <c r="V12" s="71"/>
      <c r="W12" s="71"/>
      <c r="X12" s="71"/>
      <c r="Y12" s="71"/>
      <c r="Z12" s="71"/>
      <c r="AA12" s="76"/>
      <c r="AB12" s="71"/>
      <c r="AC12" s="71"/>
      <c r="AD12" s="71"/>
      <c r="AE12" s="71"/>
      <c r="AF12" s="71"/>
      <c r="AG12" s="53"/>
      <c r="AH12" s="53"/>
      <c r="AI12" s="53"/>
    </row>
    <row r="13" spans="1:35" ht="15.75" customHeight="1">
      <c r="A13" s="53"/>
      <c r="B13" s="54"/>
      <c r="C13" s="58"/>
      <c r="D13" s="58"/>
      <c r="E13" s="59"/>
      <c r="F13" s="59"/>
      <c r="G13" s="59"/>
      <c r="H13" s="59"/>
      <c r="I13" s="59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AG13" s="53"/>
      <c r="AH13" s="53"/>
      <c r="AI13" s="53"/>
    </row>
    <row r="14" spans="1:35" s="42" customFormat="1" ht="75.75" customHeight="1">
      <c r="AA14" s="44"/>
      <c r="AB14" s="77"/>
      <c r="AC14" s="77"/>
      <c r="AD14" s="77"/>
      <c r="AE14" s="77"/>
      <c r="AF14" s="77"/>
      <c r="AG14" s="79"/>
      <c r="AH14" s="79"/>
      <c r="AI14" s="80"/>
    </row>
    <row r="15" spans="1:35" ht="15.75" customHeight="1">
      <c r="AB15" s="71"/>
      <c r="AC15" s="71"/>
      <c r="AD15" s="71"/>
      <c r="AE15" s="71"/>
      <c r="AF15" s="71"/>
      <c r="AG15" s="53"/>
      <c r="AH15" s="53"/>
      <c r="AI15" s="53"/>
    </row>
    <row r="16" spans="1:35" ht="15.75" customHeight="1">
      <c r="A16" s="60"/>
      <c r="B16" s="61"/>
      <c r="C16" s="62"/>
      <c r="D16" s="63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72"/>
      <c r="Q16" s="64"/>
      <c r="R16" s="64"/>
      <c r="S16" s="72"/>
      <c r="T16" s="72"/>
      <c r="U16" s="72"/>
      <c r="V16" s="72"/>
      <c r="W16" s="72"/>
      <c r="X16" s="72"/>
      <c r="Y16" s="72"/>
      <c r="Z16" s="72"/>
      <c r="AA16" s="76"/>
      <c r="AB16" s="72"/>
      <c r="AC16" s="72"/>
      <c r="AD16" s="72"/>
      <c r="AE16" s="72"/>
      <c r="AF16" s="72"/>
      <c r="AG16" s="53"/>
      <c r="AH16" s="53"/>
      <c r="AI16" s="53"/>
    </row>
    <row r="17" spans="1:35" ht="15.75" customHeight="1">
      <c r="A17" s="65"/>
      <c r="B17" s="66"/>
      <c r="C17" s="67"/>
      <c r="D17" s="68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73"/>
      <c r="Q17" s="66"/>
      <c r="R17" s="66"/>
      <c r="S17" s="73"/>
      <c r="T17" s="73"/>
      <c r="U17" s="73"/>
      <c r="V17" s="73"/>
      <c r="W17" s="71"/>
      <c r="X17" s="71"/>
      <c r="Y17" s="71"/>
      <c r="Z17" s="71"/>
      <c r="AA17" s="76"/>
      <c r="AB17" s="71"/>
      <c r="AC17" s="71"/>
      <c r="AD17" s="71"/>
      <c r="AE17" s="71"/>
      <c r="AF17" s="71"/>
      <c r="AG17" s="53"/>
      <c r="AH17" s="53"/>
      <c r="AI17" s="53"/>
    </row>
    <row r="18" spans="1:35" ht="15.75" customHeight="1">
      <c r="A18" s="53"/>
      <c r="B18" s="54"/>
      <c r="C18" s="55"/>
      <c r="D18" s="56"/>
      <c r="E18" s="57"/>
      <c r="F18" s="57"/>
      <c r="G18" s="57"/>
      <c r="H18" s="57"/>
      <c r="I18" s="57"/>
      <c r="J18" s="54"/>
      <c r="K18" s="54"/>
      <c r="L18" s="54"/>
      <c r="M18" s="54"/>
      <c r="N18" s="54"/>
      <c r="O18" s="54"/>
      <c r="P18" s="71"/>
      <c r="Q18" s="54"/>
      <c r="R18" s="54"/>
      <c r="S18" s="71"/>
      <c r="T18" s="71"/>
      <c r="U18" s="71"/>
      <c r="V18" s="71"/>
      <c r="W18" s="75"/>
      <c r="X18" s="75"/>
      <c r="Y18" s="75"/>
      <c r="Z18" s="75"/>
      <c r="AA18" s="78"/>
      <c r="AB18" s="75"/>
      <c r="AC18" s="75"/>
      <c r="AD18" s="75"/>
      <c r="AE18" s="75"/>
      <c r="AF18" s="75"/>
      <c r="AG18" s="53"/>
      <c r="AH18" s="53"/>
      <c r="AI18" s="53"/>
    </row>
    <row r="19" spans="1:35" ht="15.75" customHeight="1">
      <c r="A19" s="69"/>
      <c r="B19" s="69"/>
      <c r="C19" s="48"/>
      <c r="D19" s="48"/>
      <c r="E19" s="70"/>
      <c r="F19" s="70"/>
      <c r="G19" s="70"/>
      <c r="H19" s="70"/>
      <c r="I19" s="70"/>
      <c r="J19" s="74"/>
      <c r="K19" s="74"/>
      <c r="L19" s="74"/>
      <c r="M19" s="74"/>
      <c r="N19" s="74"/>
      <c r="O19" s="74"/>
      <c r="P19" s="75"/>
      <c r="Q19" s="74"/>
      <c r="R19" s="74"/>
      <c r="S19" s="75"/>
      <c r="T19" s="75"/>
      <c r="U19" s="75"/>
      <c r="V19" s="75"/>
      <c r="W19" s="71"/>
      <c r="X19" s="71"/>
      <c r="Y19" s="71"/>
      <c r="Z19" s="71"/>
      <c r="AA19" s="76"/>
      <c r="AB19" s="71"/>
      <c r="AC19" s="71"/>
      <c r="AD19" s="71"/>
      <c r="AE19" s="71"/>
      <c r="AF19" s="71"/>
      <c r="AG19" s="69"/>
      <c r="AH19" s="69"/>
      <c r="AI19" s="53"/>
    </row>
    <row r="20" spans="1:35" ht="15.75" customHeight="1">
      <c r="A20" s="53"/>
      <c r="B20" s="54"/>
      <c r="C20" s="55"/>
      <c r="D20" s="56"/>
      <c r="E20" s="57"/>
      <c r="F20" s="57"/>
      <c r="G20" s="57"/>
      <c r="H20" s="57"/>
      <c r="I20" s="57"/>
      <c r="J20" s="54"/>
      <c r="K20" s="54"/>
      <c r="L20" s="54"/>
      <c r="M20" s="54"/>
      <c r="N20" s="54"/>
      <c r="O20" s="54"/>
      <c r="P20" s="71"/>
      <c r="Q20" s="54"/>
      <c r="R20" s="54"/>
      <c r="S20" s="71"/>
      <c r="T20" s="71"/>
      <c r="U20" s="71"/>
      <c r="V20" s="71"/>
      <c r="W20" s="71"/>
      <c r="X20" s="71"/>
      <c r="Y20" s="71"/>
      <c r="Z20" s="71"/>
      <c r="AA20" s="76"/>
      <c r="AB20" s="71"/>
      <c r="AC20" s="71"/>
      <c r="AD20" s="71"/>
      <c r="AE20" s="71"/>
      <c r="AF20" s="71"/>
      <c r="AG20" s="53"/>
      <c r="AH20" s="53"/>
      <c r="AI20" s="53"/>
    </row>
    <row r="21" spans="1:35" ht="15.75" customHeight="1">
      <c r="A21" s="53"/>
      <c r="B21" s="54"/>
      <c r="C21" s="55"/>
      <c r="D21" s="56"/>
      <c r="E21" s="57"/>
      <c r="F21" s="57"/>
      <c r="G21" s="57"/>
      <c r="H21" s="57"/>
      <c r="I21" s="57"/>
      <c r="J21" s="54"/>
      <c r="K21" s="54"/>
      <c r="L21" s="54"/>
      <c r="M21" s="54"/>
      <c r="N21" s="54"/>
      <c r="O21" s="54"/>
      <c r="P21" s="71"/>
      <c r="Q21" s="54"/>
      <c r="R21" s="54"/>
      <c r="S21" s="71"/>
      <c r="T21" s="71"/>
      <c r="U21" s="71"/>
      <c r="V21" s="71"/>
      <c r="W21" s="71"/>
      <c r="X21" s="71"/>
      <c r="Y21" s="71"/>
      <c r="Z21" s="71"/>
      <c r="AA21" s="76"/>
      <c r="AB21" s="71"/>
      <c r="AC21" s="71"/>
      <c r="AD21" s="71"/>
      <c r="AE21" s="71"/>
      <c r="AF21" s="71"/>
      <c r="AG21" s="53"/>
      <c r="AH21" s="53"/>
      <c r="AI21" s="53"/>
    </row>
    <row r="22" spans="1:35" ht="15.75" customHeight="1">
      <c r="A22" s="53"/>
      <c r="B22" s="54"/>
      <c r="C22" s="55"/>
      <c r="D22" s="56"/>
      <c r="E22" s="57"/>
      <c r="F22" s="57"/>
      <c r="G22" s="57"/>
      <c r="H22" s="57"/>
      <c r="I22" s="57"/>
      <c r="J22" s="54"/>
      <c r="K22" s="54"/>
      <c r="L22" s="54"/>
      <c r="M22" s="54"/>
      <c r="N22" s="54"/>
      <c r="O22" s="54"/>
      <c r="P22" s="71"/>
      <c r="Q22" s="54"/>
      <c r="R22" s="54"/>
      <c r="S22" s="71"/>
      <c r="T22" s="71"/>
      <c r="U22" s="71"/>
      <c r="V22" s="71"/>
      <c r="W22" s="71"/>
      <c r="X22" s="71"/>
      <c r="Y22" s="71"/>
      <c r="Z22" s="71"/>
      <c r="AA22" s="76"/>
      <c r="AB22" s="71"/>
      <c r="AC22" s="71"/>
      <c r="AD22" s="71"/>
      <c r="AE22" s="71"/>
      <c r="AF22" s="71"/>
      <c r="AG22" s="53"/>
      <c r="AH22" s="53"/>
      <c r="AI22" s="53"/>
    </row>
    <row r="23" spans="1:35" ht="15.75" customHeight="1">
      <c r="A23" s="53"/>
      <c r="B23" s="54"/>
      <c r="C23" s="55"/>
      <c r="D23" s="56"/>
      <c r="E23" s="57"/>
      <c r="F23" s="57"/>
      <c r="G23" s="57"/>
      <c r="H23" s="57"/>
      <c r="I23" s="57"/>
      <c r="J23" s="54"/>
      <c r="K23" s="54"/>
      <c r="L23" s="54"/>
      <c r="M23" s="54"/>
      <c r="N23" s="54"/>
      <c r="O23" s="54"/>
      <c r="P23" s="71"/>
      <c r="Q23" s="54"/>
      <c r="R23" s="54"/>
      <c r="S23" s="71"/>
      <c r="T23" s="71"/>
      <c r="U23" s="71"/>
      <c r="V23" s="71"/>
      <c r="W23" s="71"/>
      <c r="X23" s="71"/>
      <c r="Y23" s="71"/>
      <c r="Z23" s="71"/>
      <c r="AA23" s="76"/>
      <c r="AB23" s="71"/>
      <c r="AC23" s="71"/>
      <c r="AD23" s="71"/>
      <c r="AE23" s="71"/>
      <c r="AF23" s="71"/>
      <c r="AG23" s="53"/>
      <c r="AH23" s="53"/>
      <c r="AI23" s="53"/>
    </row>
    <row r="24" spans="1:35" ht="15.75" customHeight="1">
      <c r="A24" s="53"/>
      <c r="B24" s="54"/>
      <c r="C24" s="55"/>
      <c r="D24" s="56"/>
      <c r="E24" s="57"/>
      <c r="F24" s="57"/>
      <c r="G24" s="57"/>
      <c r="H24" s="57"/>
      <c r="I24" s="57"/>
      <c r="J24" s="54"/>
      <c r="K24" s="54"/>
      <c r="L24" s="54"/>
      <c r="M24" s="54"/>
      <c r="N24" s="54"/>
      <c r="O24" s="54"/>
      <c r="P24" s="71"/>
      <c r="Q24" s="54"/>
      <c r="R24" s="54"/>
      <c r="S24" s="71"/>
      <c r="T24" s="71"/>
      <c r="U24" s="71"/>
      <c r="V24" s="71"/>
      <c r="W24" s="71"/>
      <c r="X24" s="71"/>
      <c r="Y24" s="71"/>
      <c r="Z24" s="71"/>
      <c r="AA24" s="76"/>
      <c r="AB24" s="71"/>
      <c r="AC24" s="71"/>
      <c r="AD24" s="71"/>
      <c r="AE24" s="71"/>
      <c r="AF24" s="71"/>
      <c r="AG24" s="53"/>
      <c r="AH24" s="53"/>
      <c r="AI24" s="53"/>
    </row>
    <row r="25" spans="1:35" ht="15.75" customHeight="1">
      <c r="A25" s="53"/>
      <c r="B25" s="54"/>
      <c r="C25" s="55"/>
      <c r="D25" s="56"/>
      <c r="E25" s="57"/>
      <c r="F25" s="57"/>
      <c r="G25" s="57"/>
      <c r="H25" s="57"/>
      <c r="I25" s="57"/>
      <c r="J25" s="54"/>
      <c r="K25" s="54"/>
      <c r="L25" s="54"/>
      <c r="M25" s="54"/>
      <c r="N25" s="54"/>
      <c r="O25" s="54"/>
      <c r="P25" s="71"/>
      <c r="Q25" s="54"/>
      <c r="R25" s="54"/>
      <c r="S25" s="71"/>
      <c r="T25" s="71"/>
      <c r="U25" s="71"/>
      <c r="V25" s="71"/>
      <c r="W25" s="71"/>
      <c r="X25" s="71"/>
      <c r="Y25" s="71"/>
      <c r="Z25" s="71"/>
      <c r="AA25" s="76"/>
      <c r="AB25" s="71"/>
      <c r="AC25" s="71"/>
      <c r="AD25" s="71"/>
      <c r="AE25" s="71"/>
      <c r="AF25" s="71"/>
      <c r="AG25" s="53"/>
      <c r="AH25" s="53"/>
      <c r="AI25" s="53"/>
    </row>
    <row r="26" spans="1:35" ht="15.75" customHeight="1">
      <c r="A26" s="53"/>
      <c r="B26" s="54"/>
      <c r="C26" s="55"/>
      <c r="D26" s="56"/>
      <c r="E26" s="57"/>
      <c r="F26" s="57"/>
      <c r="G26" s="57"/>
      <c r="H26" s="57"/>
      <c r="I26" s="57"/>
      <c r="J26" s="54"/>
      <c r="K26" s="54"/>
      <c r="L26" s="54"/>
      <c r="M26" s="54"/>
      <c r="N26" s="54"/>
      <c r="O26" s="54"/>
      <c r="P26" s="71"/>
      <c r="Q26" s="54"/>
      <c r="R26" s="54"/>
      <c r="S26" s="71"/>
      <c r="T26" s="71"/>
      <c r="U26" s="71"/>
      <c r="V26" s="71"/>
      <c r="W26" s="71"/>
      <c r="X26" s="71"/>
      <c r="Y26" s="71"/>
      <c r="Z26" s="71"/>
      <c r="AA26" s="76"/>
      <c r="AB26" s="71"/>
      <c r="AC26" s="71"/>
      <c r="AD26" s="71"/>
      <c r="AE26" s="71"/>
      <c r="AF26" s="71"/>
      <c r="AG26" s="53"/>
      <c r="AH26" s="53"/>
      <c r="AI26" s="53"/>
    </row>
    <row r="27" spans="1:35" ht="15.75" customHeight="1">
      <c r="A27" s="53"/>
      <c r="B27" s="54"/>
      <c r="C27" s="55"/>
      <c r="D27" s="56"/>
      <c r="E27" s="57"/>
      <c r="F27" s="57"/>
      <c r="G27" s="57"/>
      <c r="H27" s="57"/>
      <c r="I27" s="57"/>
      <c r="J27" s="54"/>
      <c r="K27" s="54"/>
      <c r="L27" s="54"/>
      <c r="M27" s="54"/>
      <c r="N27" s="54"/>
      <c r="O27" s="54"/>
      <c r="P27" s="71"/>
      <c r="Q27" s="54"/>
      <c r="R27" s="54"/>
      <c r="S27" s="71"/>
      <c r="T27" s="71"/>
      <c r="U27" s="71"/>
      <c r="V27" s="71"/>
      <c r="W27" s="71"/>
      <c r="X27" s="71"/>
      <c r="Y27" s="71"/>
      <c r="Z27" s="71"/>
      <c r="AA27" s="76"/>
      <c r="AB27" s="71"/>
      <c r="AC27" s="71"/>
      <c r="AD27" s="71"/>
      <c r="AE27" s="71"/>
      <c r="AF27" s="71"/>
      <c r="AG27" s="53"/>
      <c r="AH27" s="53"/>
      <c r="AI27" s="53"/>
    </row>
    <row r="28" spans="1:35" ht="15.75" customHeight="1">
      <c r="A28" s="53"/>
      <c r="B28" s="54"/>
      <c r="C28" s="55"/>
      <c r="D28" s="56"/>
      <c r="E28" s="57"/>
      <c r="F28" s="57"/>
      <c r="G28" s="57"/>
      <c r="H28" s="57"/>
      <c r="I28" s="57"/>
      <c r="J28" s="54"/>
      <c r="K28" s="54"/>
      <c r="L28" s="54"/>
      <c r="M28" s="54"/>
      <c r="N28" s="54"/>
      <c r="O28" s="54"/>
      <c r="P28" s="71"/>
      <c r="Q28" s="54"/>
      <c r="R28" s="54"/>
      <c r="S28" s="71"/>
      <c r="T28" s="71"/>
      <c r="U28" s="71"/>
      <c r="V28" s="71"/>
      <c r="W28" s="71"/>
      <c r="X28" s="71"/>
      <c r="Y28" s="71"/>
      <c r="Z28" s="71"/>
      <c r="AA28" s="76"/>
      <c r="AB28" s="71"/>
      <c r="AC28" s="71"/>
      <c r="AD28" s="71"/>
      <c r="AE28" s="71"/>
      <c r="AF28" s="71"/>
      <c r="AG28" s="53"/>
      <c r="AH28" s="53"/>
      <c r="AI28" s="53"/>
    </row>
    <row r="29" spans="1:35" ht="15.75" customHeight="1">
      <c r="A29" s="53"/>
      <c r="B29" s="54"/>
      <c r="C29" s="55"/>
      <c r="D29" s="56"/>
      <c r="E29" s="57"/>
      <c r="F29" s="57"/>
      <c r="G29" s="57"/>
      <c r="H29" s="57"/>
      <c r="I29" s="57"/>
      <c r="J29" s="54"/>
      <c r="K29" s="54"/>
      <c r="L29" s="54"/>
      <c r="M29" s="54"/>
      <c r="N29" s="54"/>
      <c r="O29" s="54"/>
      <c r="P29" s="71"/>
      <c r="Q29" s="54"/>
      <c r="R29" s="54"/>
      <c r="S29" s="71"/>
      <c r="T29" s="71"/>
      <c r="U29" s="71"/>
      <c r="V29" s="71"/>
      <c r="W29" s="71"/>
      <c r="X29" s="71"/>
      <c r="Y29" s="71"/>
      <c r="Z29" s="71"/>
      <c r="AA29" s="76"/>
      <c r="AB29" s="71"/>
      <c r="AC29" s="71"/>
      <c r="AD29" s="71"/>
      <c r="AE29" s="71"/>
      <c r="AF29" s="71"/>
      <c r="AG29" s="53"/>
      <c r="AH29" s="53"/>
      <c r="AI29" s="53"/>
    </row>
    <row r="30" spans="1:35" ht="15.75" customHeight="1">
      <c r="A30" s="53"/>
      <c r="B30" s="54"/>
      <c r="C30" s="55"/>
      <c r="D30" s="56"/>
      <c r="E30" s="57"/>
      <c r="F30" s="57"/>
      <c r="G30" s="57"/>
      <c r="H30" s="57"/>
      <c r="I30" s="57"/>
      <c r="J30" s="54"/>
      <c r="K30" s="54"/>
      <c r="L30" s="54"/>
      <c r="M30" s="54"/>
      <c r="N30" s="54"/>
      <c r="O30" s="54"/>
      <c r="P30" s="71"/>
      <c r="Q30" s="54"/>
      <c r="R30" s="54"/>
      <c r="S30" s="71"/>
      <c r="T30" s="71"/>
      <c r="U30" s="71"/>
      <c r="V30" s="71"/>
      <c r="W30" s="71"/>
      <c r="X30" s="71"/>
      <c r="Y30" s="71"/>
      <c r="Z30" s="71"/>
      <c r="AA30" s="76"/>
      <c r="AB30" s="71"/>
      <c r="AC30" s="71"/>
      <c r="AD30" s="71"/>
      <c r="AE30" s="71"/>
      <c r="AF30" s="71"/>
      <c r="AG30" s="53"/>
      <c r="AH30" s="53"/>
      <c r="AI30" s="53"/>
    </row>
    <row r="31" spans="1:35" ht="15.75" customHeight="1">
      <c r="A31" s="53"/>
      <c r="B31" s="54"/>
      <c r="C31" s="55"/>
      <c r="D31" s="56"/>
      <c r="E31" s="57"/>
      <c r="F31" s="57"/>
      <c r="G31" s="57"/>
      <c r="H31" s="57"/>
      <c r="I31" s="57"/>
      <c r="J31" s="54"/>
      <c r="K31" s="54"/>
      <c r="L31" s="54"/>
      <c r="M31" s="54"/>
      <c r="N31" s="54"/>
      <c r="O31" s="54"/>
      <c r="P31" s="71"/>
      <c r="Q31" s="54"/>
      <c r="R31" s="54"/>
      <c r="S31" s="71"/>
      <c r="T31" s="71"/>
      <c r="U31" s="71"/>
      <c r="V31" s="71"/>
      <c r="W31" s="71"/>
      <c r="X31" s="71"/>
      <c r="Y31" s="71"/>
      <c r="Z31" s="71"/>
      <c r="AA31" s="76"/>
      <c r="AB31" s="71"/>
      <c r="AC31" s="71"/>
      <c r="AD31" s="71"/>
      <c r="AE31" s="71"/>
      <c r="AF31" s="71"/>
      <c r="AG31" s="53"/>
      <c r="AH31" s="53"/>
      <c r="AI31" s="53"/>
    </row>
    <row r="32" spans="1:35" ht="15.75" customHeight="1">
      <c r="A32" s="53"/>
      <c r="B32" s="54"/>
      <c r="C32" s="55"/>
      <c r="D32" s="56"/>
      <c r="E32" s="57"/>
      <c r="F32" s="57"/>
      <c r="G32" s="57"/>
      <c r="H32" s="57"/>
      <c r="I32" s="57"/>
      <c r="J32" s="54"/>
      <c r="K32" s="54"/>
      <c r="L32" s="54"/>
      <c r="M32" s="54"/>
      <c r="N32" s="54"/>
      <c r="O32" s="54"/>
      <c r="P32" s="71"/>
      <c r="Q32" s="54"/>
      <c r="R32" s="54"/>
      <c r="S32" s="71"/>
      <c r="T32" s="71"/>
      <c r="U32" s="71"/>
      <c r="V32" s="71"/>
      <c r="W32" s="71"/>
      <c r="X32" s="71"/>
      <c r="Y32" s="71"/>
      <c r="Z32" s="71"/>
      <c r="AA32" s="76"/>
      <c r="AB32" s="71"/>
      <c r="AC32" s="71"/>
      <c r="AD32" s="71"/>
      <c r="AE32" s="71"/>
      <c r="AF32" s="71"/>
      <c r="AG32" s="53"/>
      <c r="AH32" s="53"/>
      <c r="AI32" s="53"/>
    </row>
    <row r="33" spans="1:35" ht="15.75" customHeight="1">
      <c r="A33" s="53"/>
      <c r="B33" s="54"/>
      <c r="C33" s="55"/>
      <c r="D33" s="56"/>
      <c r="E33" s="57"/>
      <c r="F33" s="57"/>
      <c r="G33" s="57"/>
      <c r="H33" s="57"/>
      <c r="I33" s="57"/>
      <c r="J33" s="54"/>
      <c r="K33" s="54"/>
      <c r="L33" s="54"/>
      <c r="M33" s="54"/>
      <c r="N33" s="54"/>
      <c r="O33" s="54"/>
      <c r="P33" s="71"/>
      <c r="Q33" s="54"/>
      <c r="R33" s="54"/>
      <c r="S33" s="71"/>
      <c r="T33" s="71"/>
      <c r="U33" s="71"/>
      <c r="V33" s="71"/>
      <c r="W33" s="71"/>
      <c r="X33" s="71"/>
      <c r="Y33" s="71"/>
      <c r="Z33" s="71"/>
      <c r="AA33" s="76"/>
      <c r="AB33" s="71"/>
      <c r="AC33" s="71"/>
      <c r="AD33" s="71"/>
      <c r="AE33" s="71"/>
      <c r="AF33" s="71"/>
      <c r="AG33" s="53"/>
      <c r="AH33" s="53"/>
      <c r="AI33" s="53"/>
    </row>
    <row r="34" spans="1:35" ht="15.75" customHeight="1">
      <c r="A34" s="53"/>
      <c r="B34" s="54"/>
      <c r="C34" s="55"/>
      <c r="D34" s="56"/>
      <c r="E34" s="57"/>
      <c r="F34" s="57"/>
      <c r="G34" s="57"/>
      <c r="H34" s="57"/>
      <c r="I34" s="57"/>
      <c r="J34" s="54"/>
      <c r="K34" s="54"/>
      <c r="L34" s="54"/>
      <c r="M34" s="54"/>
      <c r="N34" s="54"/>
      <c r="O34" s="54"/>
      <c r="P34" s="71"/>
      <c r="Q34" s="54"/>
      <c r="R34" s="54"/>
      <c r="S34" s="71"/>
      <c r="T34" s="71"/>
      <c r="U34" s="71"/>
      <c r="V34" s="71"/>
      <c r="W34" s="71"/>
      <c r="X34" s="71"/>
      <c r="Y34" s="71"/>
      <c r="Z34" s="71"/>
      <c r="AA34" s="76"/>
      <c r="AB34" s="71"/>
      <c r="AC34" s="71"/>
      <c r="AD34" s="71"/>
      <c r="AE34" s="71"/>
      <c r="AF34" s="71"/>
      <c r="AG34" s="53"/>
      <c r="AH34" s="53"/>
      <c r="AI34" s="53"/>
    </row>
    <row r="35" spans="1:35" ht="15.75" customHeight="1">
      <c r="A35" s="53"/>
      <c r="B35" s="54"/>
      <c r="C35" s="55"/>
      <c r="D35" s="56"/>
      <c r="E35" s="57"/>
      <c r="F35" s="57"/>
      <c r="G35" s="57"/>
      <c r="H35" s="57"/>
      <c r="I35" s="57"/>
      <c r="J35" s="54"/>
      <c r="K35" s="54"/>
      <c r="L35" s="54"/>
      <c r="M35" s="54"/>
      <c r="N35" s="54"/>
      <c r="O35" s="54"/>
      <c r="P35" s="71"/>
      <c r="Q35" s="54"/>
      <c r="R35" s="54"/>
      <c r="S35" s="71"/>
      <c r="T35" s="71"/>
      <c r="U35" s="71"/>
      <c r="V35" s="71"/>
      <c r="W35" s="71"/>
      <c r="X35" s="71"/>
      <c r="Y35" s="71"/>
      <c r="Z35" s="71"/>
      <c r="AA35" s="76"/>
      <c r="AB35" s="71"/>
      <c r="AC35" s="71"/>
      <c r="AD35" s="71"/>
      <c r="AE35" s="71"/>
      <c r="AF35" s="71"/>
      <c r="AG35" s="53"/>
      <c r="AH35" s="53"/>
      <c r="AI35" s="53"/>
    </row>
    <row r="36" spans="1:35" ht="15.75" customHeight="1">
      <c r="A36" s="53"/>
      <c r="B36" s="54"/>
      <c r="C36" s="55"/>
      <c r="D36" s="56"/>
      <c r="E36" s="57"/>
      <c r="F36" s="57"/>
      <c r="G36" s="57"/>
      <c r="H36" s="57"/>
      <c r="I36" s="57"/>
      <c r="J36" s="54"/>
      <c r="K36" s="54"/>
      <c r="L36" s="54"/>
      <c r="M36" s="54"/>
      <c r="N36" s="54"/>
      <c r="O36" s="54"/>
      <c r="P36" s="71"/>
      <c r="Q36" s="54"/>
      <c r="R36" s="54"/>
      <c r="S36" s="71"/>
      <c r="T36" s="71"/>
      <c r="U36" s="71"/>
      <c r="V36" s="71"/>
      <c r="W36" s="71"/>
      <c r="X36" s="71"/>
      <c r="Y36" s="71"/>
      <c r="Z36" s="71"/>
      <c r="AA36" s="76"/>
      <c r="AB36" s="71"/>
      <c r="AC36" s="71"/>
      <c r="AD36" s="71"/>
      <c r="AE36" s="71"/>
      <c r="AF36" s="71"/>
      <c r="AG36" s="53"/>
      <c r="AH36" s="53"/>
      <c r="AI36" s="53"/>
    </row>
    <row r="37" spans="1:35" ht="15.75" customHeight="1">
      <c r="A37" s="53"/>
      <c r="B37" s="54"/>
      <c r="C37" s="55"/>
      <c r="D37" s="56"/>
      <c r="E37" s="57"/>
      <c r="F37" s="57"/>
      <c r="G37" s="57"/>
      <c r="H37" s="57"/>
      <c r="I37" s="57"/>
      <c r="J37" s="54"/>
      <c r="K37" s="54"/>
      <c r="L37" s="54"/>
      <c r="M37" s="54"/>
      <c r="N37" s="54"/>
      <c r="O37" s="54"/>
      <c r="P37" s="71"/>
      <c r="Q37" s="54"/>
      <c r="R37" s="54"/>
      <c r="S37" s="71"/>
      <c r="T37" s="71"/>
      <c r="U37" s="71"/>
      <c r="V37" s="71"/>
      <c r="W37" s="71"/>
      <c r="X37" s="71"/>
      <c r="Y37" s="71"/>
      <c r="Z37" s="71"/>
      <c r="AA37" s="76"/>
      <c r="AB37" s="71"/>
      <c r="AC37" s="71"/>
      <c r="AD37" s="71"/>
      <c r="AE37" s="71"/>
      <c r="AF37" s="71"/>
      <c r="AG37" s="53"/>
      <c r="AH37" s="53"/>
      <c r="AI37" s="53"/>
    </row>
    <row r="38" spans="1:35" ht="15.75" customHeight="1">
      <c r="A38" s="53"/>
      <c r="B38" s="54"/>
      <c r="C38" s="55"/>
      <c r="D38" s="56"/>
      <c r="E38" s="57"/>
      <c r="F38" s="57"/>
      <c r="G38" s="57"/>
      <c r="H38" s="57"/>
      <c r="I38" s="57"/>
      <c r="J38" s="54"/>
      <c r="K38" s="54"/>
      <c r="L38" s="54"/>
      <c r="M38" s="54"/>
      <c r="N38" s="54"/>
      <c r="O38" s="54"/>
      <c r="P38" s="71"/>
      <c r="Q38" s="54"/>
      <c r="R38" s="54"/>
      <c r="S38" s="71"/>
      <c r="T38" s="71"/>
      <c r="U38" s="71"/>
      <c r="V38" s="71"/>
      <c r="W38" s="71"/>
      <c r="X38" s="71"/>
      <c r="Y38" s="71"/>
      <c r="Z38" s="71"/>
      <c r="AA38" s="76"/>
      <c r="AB38" s="71"/>
      <c r="AC38" s="71"/>
      <c r="AD38" s="71"/>
      <c r="AE38" s="71"/>
      <c r="AF38" s="71"/>
      <c r="AG38" s="53"/>
      <c r="AH38" s="53"/>
      <c r="AI38" s="53"/>
    </row>
    <row r="39" spans="1:35" ht="15.75" customHeight="1">
      <c r="A39" s="53"/>
      <c r="B39" s="54"/>
      <c r="C39" s="55"/>
      <c r="D39" s="56"/>
      <c r="E39" s="57"/>
      <c r="F39" s="57"/>
      <c r="G39" s="57"/>
      <c r="H39" s="57"/>
      <c r="I39" s="57"/>
      <c r="J39" s="54"/>
      <c r="K39" s="54"/>
      <c r="L39" s="54"/>
      <c r="M39" s="54"/>
      <c r="N39" s="54"/>
      <c r="O39" s="54"/>
      <c r="P39" s="71"/>
      <c r="Q39" s="54"/>
      <c r="R39" s="54"/>
      <c r="S39" s="71"/>
      <c r="T39" s="71"/>
      <c r="U39" s="71"/>
      <c r="V39" s="71"/>
      <c r="W39" s="71"/>
      <c r="X39" s="71"/>
      <c r="Y39" s="71"/>
      <c r="Z39" s="71"/>
      <c r="AA39" s="76"/>
      <c r="AB39" s="71"/>
      <c r="AC39" s="71"/>
      <c r="AD39" s="71"/>
      <c r="AE39" s="71"/>
      <c r="AF39" s="71"/>
      <c r="AG39" s="53"/>
      <c r="AH39" s="53"/>
      <c r="AI39" s="53"/>
    </row>
    <row r="40" spans="1:35" ht="15.75" customHeight="1">
      <c r="A40" s="53"/>
      <c r="B40" s="54"/>
      <c r="C40" s="55"/>
      <c r="D40" s="56"/>
      <c r="E40" s="57"/>
      <c r="F40" s="57"/>
      <c r="G40" s="57"/>
      <c r="H40" s="57"/>
      <c r="I40" s="57"/>
      <c r="J40" s="54"/>
      <c r="K40" s="54"/>
      <c r="L40" s="54"/>
      <c r="M40" s="54"/>
      <c r="N40" s="54"/>
      <c r="O40" s="54"/>
      <c r="P40" s="71"/>
      <c r="Q40" s="54"/>
      <c r="R40" s="54"/>
      <c r="S40" s="71"/>
      <c r="T40" s="71"/>
      <c r="U40" s="71"/>
      <c r="V40" s="71"/>
      <c r="W40" s="71"/>
      <c r="X40" s="71"/>
      <c r="Y40" s="71"/>
      <c r="Z40" s="71"/>
      <c r="AA40" s="76"/>
      <c r="AB40" s="71"/>
      <c r="AC40" s="71"/>
      <c r="AD40" s="71"/>
      <c r="AE40" s="71"/>
      <c r="AF40" s="71"/>
      <c r="AG40" s="53"/>
      <c r="AH40" s="53"/>
      <c r="AI40" s="53"/>
    </row>
    <row r="41" spans="1:35" ht="15.75" customHeight="1">
      <c r="A41" s="53"/>
      <c r="B41" s="54"/>
      <c r="C41" s="55"/>
      <c r="D41" s="56"/>
      <c r="E41" s="57"/>
      <c r="F41" s="57"/>
      <c r="G41" s="57"/>
      <c r="H41" s="57"/>
      <c r="I41" s="57"/>
      <c r="J41" s="54"/>
      <c r="K41" s="54"/>
      <c r="L41" s="54"/>
      <c r="M41" s="54"/>
      <c r="N41" s="54"/>
      <c r="O41" s="54"/>
      <c r="P41" s="71"/>
      <c r="Q41" s="54"/>
      <c r="R41" s="54"/>
      <c r="S41" s="71"/>
      <c r="T41" s="71"/>
      <c r="U41" s="71"/>
      <c r="V41" s="71"/>
      <c r="W41" s="71"/>
      <c r="X41" s="71"/>
      <c r="Y41" s="71"/>
      <c r="Z41" s="71"/>
      <c r="AA41" s="76"/>
      <c r="AB41" s="71"/>
      <c r="AC41" s="71"/>
      <c r="AD41" s="71"/>
      <c r="AE41" s="71"/>
      <c r="AF41" s="71"/>
      <c r="AG41" s="53"/>
      <c r="AH41" s="53"/>
      <c r="AI41" s="53"/>
    </row>
    <row r="42" spans="1:35" ht="15.75" customHeight="1">
      <c r="A42" s="53"/>
      <c r="B42" s="54"/>
      <c r="C42" s="55"/>
      <c r="D42" s="56"/>
      <c r="E42" s="57"/>
      <c r="F42" s="57"/>
      <c r="G42" s="57"/>
      <c r="H42" s="57"/>
      <c r="I42" s="57"/>
      <c r="J42" s="54"/>
      <c r="K42" s="54"/>
      <c r="L42" s="54"/>
      <c r="M42" s="54"/>
      <c r="N42" s="54"/>
      <c r="O42" s="54"/>
      <c r="P42" s="71"/>
      <c r="Q42" s="54"/>
      <c r="R42" s="54"/>
      <c r="S42" s="71"/>
      <c r="T42" s="71"/>
      <c r="U42" s="71"/>
      <c r="V42" s="71"/>
      <c r="W42" s="71"/>
      <c r="X42" s="71"/>
      <c r="Y42" s="71"/>
      <c r="Z42" s="71"/>
      <c r="AA42" s="76"/>
      <c r="AB42" s="71"/>
      <c r="AC42" s="71"/>
      <c r="AD42" s="71"/>
      <c r="AE42" s="71"/>
      <c r="AF42" s="71"/>
      <c r="AG42" s="53"/>
      <c r="AH42" s="53"/>
      <c r="AI42" s="53"/>
    </row>
    <row r="43" spans="1:35" ht="15.75" customHeight="1">
      <c r="A43" s="53"/>
      <c r="B43" s="54"/>
      <c r="C43" s="55"/>
      <c r="D43" s="56"/>
      <c r="E43" s="57"/>
      <c r="F43" s="57"/>
      <c r="G43" s="57"/>
      <c r="H43" s="57"/>
      <c r="I43" s="57"/>
      <c r="J43" s="54"/>
      <c r="K43" s="54"/>
      <c r="L43" s="54"/>
      <c r="M43" s="54"/>
      <c r="N43" s="54"/>
      <c r="O43" s="54"/>
      <c r="P43" s="71"/>
      <c r="Q43" s="54"/>
      <c r="R43" s="54"/>
      <c r="S43" s="71"/>
      <c r="T43" s="71"/>
      <c r="U43" s="71"/>
      <c r="V43" s="71"/>
      <c r="W43" s="71"/>
      <c r="X43" s="71"/>
      <c r="Y43" s="71"/>
      <c r="Z43" s="71"/>
      <c r="AA43" s="76"/>
      <c r="AB43" s="71"/>
      <c r="AC43" s="71"/>
      <c r="AD43" s="71"/>
      <c r="AE43" s="71"/>
      <c r="AF43" s="71"/>
      <c r="AG43" s="53"/>
      <c r="AH43" s="53"/>
      <c r="AI43" s="53"/>
    </row>
    <row r="44" spans="1:35" ht="15.75" customHeight="1">
      <c r="A44" s="53"/>
      <c r="B44" s="54"/>
      <c r="C44" s="55"/>
      <c r="D44" s="56"/>
      <c r="E44" s="57"/>
      <c r="F44" s="57"/>
      <c r="G44" s="57"/>
      <c r="H44" s="57"/>
      <c r="I44" s="57"/>
      <c r="J44" s="54"/>
      <c r="K44" s="54"/>
      <c r="L44" s="54"/>
      <c r="M44" s="54"/>
      <c r="N44" s="54"/>
      <c r="O44" s="54"/>
      <c r="P44" s="71"/>
      <c r="Q44" s="54"/>
      <c r="R44" s="54"/>
      <c r="S44" s="71"/>
      <c r="T44" s="71"/>
      <c r="U44" s="71"/>
      <c r="V44" s="71"/>
      <c r="W44" s="52"/>
      <c r="X44" s="52"/>
      <c r="Y44" s="52"/>
      <c r="Z44" s="52"/>
      <c r="AA44" s="49"/>
      <c r="AB44" s="52"/>
      <c r="AC44" s="52"/>
      <c r="AD44" s="52"/>
      <c r="AE44" s="52"/>
      <c r="AF44" s="52"/>
      <c r="AG44" s="53"/>
      <c r="AH44" s="53"/>
      <c r="AI44" s="53"/>
    </row>
    <row r="45" spans="1:35" ht="15.7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49"/>
      <c r="AB45" s="52"/>
      <c r="AC45" s="52"/>
      <c r="AD45" s="52"/>
      <c r="AE45" s="52"/>
      <c r="AF45" s="52"/>
      <c r="AG45" s="52"/>
      <c r="AH45" s="52"/>
      <c r="AI45" s="52"/>
    </row>
    <row r="46" spans="1:35" ht="15.7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49"/>
      <c r="AB46" s="52"/>
      <c r="AC46" s="52"/>
      <c r="AD46" s="52"/>
      <c r="AE46" s="52"/>
      <c r="AF46" s="52"/>
      <c r="AG46" s="52"/>
      <c r="AH46" s="52"/>
      <c r="AI46" s="52"/>
    </row>
    <row r="47" spans="1:35" ht="15.7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49"/>
      <c r="AB47" s="52"/>
      <c r="AC47" s="52"/>
      <c r="AD47" s="52"/>
      <c r="AE47" s="52"/>
      <c r="AF47" s="52"/>
      <c r="AG47" s="52"/>
      <c r="AH47" s="52"/>
      <c r="AI47" s="52"/>
    </row>
    <row r="48" spans="1:35" ht="15.7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49"/>
      <c r="AB48" s="52"/>
      <c r="AC48" s="52"/>
      <c r="AD48" s="52"/>
      <c r="AE48" s="52"/>
      <c r="AF48" s="52"/>
      <c r="AG48" s="52"/>
      <c r="AH48" s="52"/>
      <c r="AI48" s="52"/>
    </row>
    <row r="49" spans="1:35" ht="15.7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49"/>
      <c r="AB49" s="52"/>
      <c r="AC49" s="52"/>
      <c r="AD49" s="52"/>
      <c r="AE49" s="52"/>
      <c r="AF49" s="52"/>
      <c r="AG49" s="52"/>
      <c r="AH49" s="52"/>
      <c r="AI49" s="52"/>
    </row>
    <row r="50" spans="1:35" ht="15.7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49"/>
      <c r="AB50" s="52"/>
      <c r="AC50" s="52"/>
      <c r="AD50" s="52"/>
      <c r="AE50" s="52"/>
      <c r="AF50" s="52"/>
      <c r="AG50" s="52"/>
      <c r="AH50" s="52"/>
      <c r="AI50" s="52"/>
    </row>
    <row r="51" spans="1:35" ht="15.7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49"/>
      <c r="AB51" s="52"/>
      <c r="AC51" s="52"/>
      <c r="AD51" s="52"/>
      <c r="AE51" s="52"/>
      <c r="AF51" s="52"/>
      <c r="AG51" s="52"/>
      <c r="AH51" s="52"/>
      <c r="AI51" s="52"/>
    </row>
    <row r="52" spans="1:35" ht="15.75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49"/>
      <c r="AB52" s="52"/>
      <c r="AC52" s="52"/>
      <c r="AD52" s="52"/>
      <c r="AE52" s="52"/>
      <c r="AF52" s="52"/>
      <c r="AG52" s="52"/>
      <c r="AH52" s="52"/>
      <c r="AI52" s="52"/>
    </row>
    <row r="53" spans="1:35" ht="15.75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49"/>
      <c r="AB53" s="52"/>
      <c r="AC53" s="52"/>
      <c r="AD53" s="52"/>
      <c r="AE53" s="52"/>
      <c r="AF53" s="52"/>
      <c r="AG53" s="52"/>
      <c r="AH53" s="52"/>
      <c r="AI53" s="52"/>
    </row>
    <row r="54" spans="1:35" ht="15.75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49"/>
      <c r="AB54" s="52"/>
      <c r="AC54" s="52"/>
      <c r="AD54" s="52"/>
      <c r="AE54" s="52"/>
      <c r="AF54" s="52"/>
      <c r="AG54" s="52"/>
      <c r="AH54" s="52"/>
      <c r="AI54" s="52"/>
    </row>
    <row r="55" spans="1:35" ht="15.75" customHeight="1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49"/>
      <c r="AB55" s="52"/>
      <c r="AC55" s="52"/>
      <c r="AD55" s="52"/>
      <c r="AE55" s="52"/>
      <c r="AF55" s="52"/>
      <c r="AG55" s="52"/>
      <c r="AH55" s="52"/>
      <c r="AI55" s="52"/>
    </row>
    <row r="56" spans="1:35" ht="15.75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49"/>
      <c r="AB56" s="52"/>
      <c r="AC56" s="52"/>
      <c r="AD56" s="52"/>
      <c r="AE56" s="52"/>
      <c r="AF56" s="52"/>
      <c r="AG56" s="52"/>
      <c r="AH56" s="52"/>
      <c r="AI56" s="52"/>
    </row>
    <row r="57" spans="1:35" ht="15.75" customHeight="1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49"/>
      <c r="AB57" s="52"/>
      <c r="AC57" s="52"/>
      <c r="AD57" s="52"/>
      <c r="AE57" s="52"/>
      <c r="AF57" s="52"/>
      <c r="AG57" s="52"/>
      <c r="AH57" s="52"/>
      <c r="AI57" s="52"/>
    </row>
    <row r="58" spans="1:35" ht="15.75" customHeight="1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49"/>
      <c r="AB58" s="52"/>
      <c r="AC58" s="52"/>
      <c r="AD58" s="52"/>
      <c r="AE58" s="52"/>
      <c r="AF58" s="52"/>
      <c r="AG58" s="52"/>
      <c r="AH58" s="52"/>
      <c r="AI58" s="52"/>
    </row>
    <row r="59" spans="1:35" ht="15.75" customHeight="1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49"/>
      <c r="AB59" s="52"/>
      <c r="AC59" s="52"/>
      <c r="AD59" s="52"/>
      <c r="AE59" s="52"/>
      <c r="AF59" s="52"/>
      <c r="AG59" s="52"/>
      <c r="AH59" s="52"/>
      <c r="AI59" s="52"/>
    </row>
    <row r="60" spans="1:35" ht="15.75" customHeight="1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49"/>
      <c r="AB60" s="52"/>
      <c r="AC60" s="52"/>
      <c r="AD60" s="52"/>
      <c r="AE60" s="52"/>
      <c r="AF60" s="52"/>
      <c r="AG60" s="52"/>
      <c r="AH60" s="52"/>
      <c r="AI60" s="52"/>
    </row>
    <row r="61" spans="1:35" ht="15.7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49"/>
      <c r="AB61" s="52"/>
      <c r="AC61" s="52"/>
      <c r="AD61" s="52"/>
      <c r="AE61" s="52"/>
      <c r="AF61" s="52"/>
      <c r="AG61" s="52"/>
      <c r="AH61" s="52"/>
      <c r="AI61" s="52"/>
    </row>
    <row r="62" spans="1:35" ht="15.75" customHeight="1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49"/>
      <c r="AB62" s="52"/>
      <c r="AC62" s="52"/>
      <c r="AD62" s="52"/>
      <c r="AE62" s="52"/>
      <c r="AF62" s="52"/>
      <c r="AG62" s="52"/>
      <c r="AH62" s="52"/>
      <c r="AI62" s="52"/>
    </row>
    <row r="63" spans="1:35" ht="15.75" customHeight="1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49"/>
      <c r="AB63" s="52"/>
      <c r="AC63" s="52"/>
      <c r="AD63" s="52"/>
      <c r="AE63" s="52"/>
      <c r="AF63" s="52"/>
      <c r="AG63" s="52"/>
      <c r="AH63" s="52"/>
      <c r="AI63" s="52"/>
    </row>
    <row r="64" spans="1:35" ht="15.75" customHeight="1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49"/>
      <c r="AB64" s="52"/>
      <c r="AC64" s="52"/>
      <c r="AD64" s="52"/>
      <c r="AE64" s="52"/>
      <c r="AF64" s="52"/>
      <c r="AG64" s="52"/>
      <c r="AH64" s="52"/>
      <c r="AI64" s="52"/>
    </row>
    <row r="65" spans="1:35" ht="15.75" customHeight="1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49"/>
      <c r="AB65" s="52"/>
      <c r="AC65" s="52"/>
      <c r="AD65" s="52"/>
      <c r="AE65" s="52"/>
      <c r="AF65" s="52"/>
      <c r="AG65" s="52"/>
      <c r="AH65" s="52"/>
      <c r="AI65" s="52"/>
    </row>
    <row r="66" spans="1:35" ht="15.7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49"/>
      <c r="AB66" s="52"/>
      <c r="AC66" s="52"/>
      <c r="AD66" s="52"/>
      <c r="AE66" s="52"/>
      <c r="AF66" s="52"/>
      <c r="AG66" s="52"/>
      <c r="AH66" s="52"/>
      <c r="AI66" s="52"/>
    </row>
    <row r="67" spans="1:35" ht="15.7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49"/>
      <c r="AB67" s="52"/>
      <c r="AC67" s="52"/>
      <c r="AD67" s="52"/>
      <c r="AE67" s="52"/>
      <c r="AF67" s="52"/>
      <c r="AG67" s="52"/>
      <c r="AH67" s="52"/>
      <c r="AI67" s="52"/>
    </row>
    <row r="68" spans="1:35" ht="15.7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49"/>
      <c r="AB68" s="52"/>
      <c r="AC68" s="52"/>
      <c r="AD68" s="52"/>
      <c r="AE68" s="52"/>
      <c r="AF68" s="52"/>
      <c r="AG68" s="52"/>
      <c r="AH68" s="52"/>
      <c r="AI68" s="52"/>
    </row>
    <row r="69" spans="1:35" ht="15.7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49"/>
      <c r="AB69" s="52"/>
      <c r="AC69" s="52"/>
      <c r="AD69" s="52"/>
      <c r="AE69" s="52"/>
      <c r="AF69" s="52"/>
      <c r="AG69" s="52"/>
      <c r="AH69" s="52"/>
      <c r="AI69" s="52"/>
    </row>
    <row r="70" spans="1:35" ht="15.7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49"/>
      <c r="AB70" s="52"/>
      <c r="AC70" s="52"/>
      <c r="AD70" s="52"/>
      <c r="AE70" s="52"/>
      <c r="AF70" s="52"/>
      <c r="AG70" s="52"/>
      <c r="AH70" s="52"/>
      <c r="AI70" s="52"/>
    </row>
    <row r="71" spans="1:35" ht="15.7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49"/>
      <c r="AB71" s="52"/>
      <c r="AC71" s="52"/>
      <c r="AD71" s="52"/>
      <c r="AE71" s="52"/>
      <c r="AF71" s="52"/>
      <c r="AG71" s="52"/>
      <c r="AH71" s="52"/>
      <c r="AI71" s="52"/>
    </row>
    <row r="72" spans="1:35" ht="15.7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49"/>
      <c r="AB72" s="52"/>
      <c r="AC72" s="52"/>
      <c r="AD72" s="52"/>
      <c r="AE72" s="52"/>
      <c r="AF72" s="52"/>
      <c r="AG72" s="52"/>
      <c r="AH72" s="52"/>
      <c r="AI72" s="52"/>
    </row>
    <row r="73" spans="1:35" ht="15.7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49"/>
      <c r="AB73" s="52"/>
      <c r="AC73" s="52"/>
      <c r="AD73" s="52"/>
      <c r="AE73" s="52"/>
      <c r="AF73" s="52"/>
      <c r="AG73" s="52"/>
      <c r="AH73" s="52"/>
      <c r="AI73" s="52"/>
    </row>
    <row r="74" spans="1:35" ht="15.7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49"/>
      <c r="AB74" s="52"/>
      <c r="AC74" s="52"/>
      <c r="AD74" s="52"/>
      <c r="AE74" s="52"/>
      <c r="AF74" s="52"/>
      <c r="AG74" s="52"/>
      <c r="AH74" s="52"/>
      <c r="AI74" s="52"/>
    </row>
    <row r="75" spans="1:35" ht="15.7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49"/>
      <c r="AB75" s="52"/>
      <c r="AC75" s="52"/>
      <c r="AD75" s="52"/>
      <c r="AE75" s="52"/>
      <c r="AF75" s="52"/>
      <c r="AG75" s="52"/>
      <c r="AH75" s="52"/>
      <c r="AI75" s="52"/>
    </row>
    <row r="76" spans="1:35" ht="15.7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49"/>
      <c r="AB76" s="52"/>
      <c r="AC76" s="52"/>
      <c r="AD76" s="52"/>
      <c r="AE76" s="52"/>
      <c r="AF76" s="52"/>
      <c r="AG76" s="52"/>
      <c r="AH76" s="52"/>
      <c r="AI76" s="52"/>
    </row>
    <row r="77" spans="1:35" ht="15.7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49"/>
      <c r="AB77" s="52"/>
      <c r="AC77" s="52"/>
      <c r="AD77" s="52"/>
      <c r="AE77" s="52"/>
      <c r="AF77" s="52"/>
      <c r="AG77" s="52"/>
      <c r="AH77" s="52"/>
      <c r="AI77" s="52"/>
    </row>
    <row r="78" spans="1:35" ht="15.7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49"/>
      <c r="AB78" s="52"/>
      <c r="AC78" s="52"/>
      <c r="AD78" s="52"/>
      <c r="AE78" s="52"/>
      <c r="AF78" s="52"/>
      <c r="AG78" s="52"/>
      <c r="AH78" s="52"/>
      <c r="AI78" s="52"/>
    </row>
    <row r="79" spans="1:35" ht="15.7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49"/>
      <c r="AB79" s="52"/>
      <c r="AC79" s="52"/>
      <c r="AD79" s="52"/>
      <c r="AE79" s="52"/>
      <c r="AF79" s="52"/>
      <c r="AG79" s="52"/>
      <c r="AH79" s="52"/>
      <c r="AI79" s="52"/>
    </row>
    <row r="80" spans="1:35" ht="15.7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49"/>
      <c r="AB80" s="52"/>
      <c r="AC80" s="52"/>
      <c r="AD80" s="52"/>
      <c r="AE80" s="52"/>
      <c r="AF80" s="52"/>
      <c r="AG80" s="52"/>
      <c r="AH80" s="52"/>
      <c r="AI80" s="52"/>
    </row>
    <row r="81" spans="1:35" ht="15.7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49"/>
      <c r="AB81" s="52"/>
      <c r="AC81" s="52"/>
      <c r="AD81" s="52"/>
      <c r="AE81" s="52"/>
      <c r="AF81" s="52"/>
      <c r="AG81" s="52"/>
      <c r="AH81" s="52"/>
      <c r="AI81" s="52"/>
    </row>
    <row r="82" spans="1:35" ht="15.7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49"/>
      <c r="AB82" s="52"/>
      <c r="AC82" s="52"/>
      <c r="AD82" s="52"/>
      <c r="AE82" s="52"/>
      <c r="AF82" s="52"/>
      <c r="AG82" s="52"/>
      <c r="AH82" s="52"/>
      <c r="AI82" s="52"/>
    </row>
    <row r="83" spans="1:35" ht="15.7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49"/>
      <c r="AB83" s="52"/>
      <c r="AC83" s="52"/>
      <c r="AD83" s="52"/>
      <c r="AE83" s="52"/>
      <c r="AF83" s="52"/>
      <c r="AG83" s="52"/>
      <c r="AH83" s="52"/>
      <c r="AI83" s="52"/>
    </row>
    <row r="84" spans="1:35" ht="15.7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49"/>
      <c r="AB84" s="52"/>
      <c r="AC84" s="52"/>
      <c r="AD84" s="52"/>
      <c r="AE84" s="52"/>
      <c r="AF84" s="52"/>
      <c r="AG84" s="52"/>
      <c r="AH84" s="52"/>
      <c r="AI84" s="52"/>
    </row>
    <row r="85" spans="1:35" ht="15.7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49"/>
      <c r="AB85" s="52"/>
      <c r="AC85" s="52"/>
      <c r="AD85" s="52"/>
      <c r="AE85" s="52"/>
      <c r="AF85" s="52"/>
      <c r="AG85" s="52"/>
      <c r="AH85" s="52"/>
      <c r="AI85" s="52"/>
    </row>
    <row r="86" spans="1:35" ht="15.7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49"/>
      <c r="AB86" s="52"/>
      <c r="AC86" s="52"/>
      <c r="AD86" s="52"/>
      <c r="AE86" s="52"/>
      <c r="AF86" s="52"/>
      <c r="AG86" s="52"/>
      <c r="AH86" s="52"/>
      <c r="AI86" s="52"/>
    </row>
    <row r="87" spans="1:35" ht="15.7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49"/>
      <c r="AB87" s="52"/>
      <c r="AC87" s="52"/>
      <c r="AD87" s="52"/>
      <c r="AE87" s="52"/>
      <c r="AF87" s="52"/>
      <c r="AG87" s="52"/>
      <c r="AH87" s="52"/>
      <c r="AI87" s="52"/>
    </row>
    <row r="88" spans="1:35" ht="15.7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49"/>
      <c r="AB88" s="52"/>
      <c r="AC88" s="52"/>
      <c r="AD88" s="52"/>
      <c r="AE88" s="52"/>
      <c r="AF88" s="52"/>
      <c r="AG88" s="52"/>
      <c r="AH88" s="52"/>
      <c r="AI88" s="52"/>
    </row>
    <row r="89" spans="1:35" ht="15.7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49"/>
      <c r="AB89" s="52"/>
      <c r="AC89" s="52"/>
      <c r="AD89" s="52"/>
      <c r="AE89" s="52"/>
      <c r="AF89" s="52"/>
      <c r="AG89" s="52"/>
      <c r="AH89" s="52"/>
      <c r="AI89" s="52"/>
    </row>
    <row r="90" spans="1:35" ht="15.7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49"/>
      <c r="AB90" s="52"/>
      <c r="AC90" s="52"/>
      <c r="AD90" s="52"/>
      <c r="AE90" s="52"/>
      <c r="AF90" s="52"/>
      <c r="AG90" s="52"/>
      <c r="AH90" s="52"/>
      <c r="AI90" s="52"/>
    </row>
    <row r="91" spans="1:35" ht="15.7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49"/>
      <c r="AB91" s="52"/>
      <c r="AC91" s="52"/>
      <c r="AD91" s="52"/>
      <c r="AE91" s="52"/>
      <c r="AF91" s="52"/>
      <c r="AG91" s="52"/>
      <c r="AH91" s="52"/>
      <c r="AI91" s="52"/>
    </row>
    <row r="92" spans="1:35" ht="15.7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49"/>
      <c r="AB92" s="52"/>
      <c r="AC92" s="52"/>
      <c r="AD92" s="52"/>
      <c r="AE92" s="52"/>
      <c r="AF92" s="52"/>
      <c r="AG92" s="52"/>
      <c r="AH92" s="52"/>
      <c r="AI92" s="52"/>
    </row>
    <row r="93" spans="1:35" ht="15.7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49"/>
      <c r="AB93" s="52"/>
      <c r="AC93" s="52"/>
      <c r="AD93" s="52"/>
      <c r="AE93" s="52"/>
      <c r="AF93" s="52"/>
      <c r="AG93" s="52"/>
      <c r="AH93" s="52"/>
      <c r="AI93" s="52"/>
    </row>
    <row r="94" spans="1:35" ht="15.7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49"/>
      <c r="AB94" s="52"/>
      <c r="AC94" s="52"/>
      <c r="AD94" s="52"/>
      <c r="AE94" s="52"/>
      <c r="AF94" s="52"/>
      <c r="AG94" s="52"/>
      <c r="AH94" s="52"/>
      <c r="AI94" s="52"/>
    </row>
    <row r="95" spans="1:35" ht="15.7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49"/>
      <c r="AB95" s="52"/>
      <c r="AC95" s="52"/>
      <c r="AD95" s="52"/>
      <c r="AE95" s="52"/>
      <c r="AF95" s="52"/>
      <c r="AG95" s="52"/>
      <c r="AH95" s="52"/>
      <c r="AI95" s="52"/>
    </row>
    <row r="96" spans="1:35" ht="15.7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49"/>
      <c r="AB96" s="52"/>
      <c r="AC96" s="52"/>
      <c r="AD96" s="52"/>
      <c r="AE96" s="52"/>
      <c r="AF96" s="52"/>
      <c r="AG96" s="52"/>
      <c r="AH96" s="52"/>
      <c r="AI96" s="52"/>
    </row>
    <row r="97" spans="1:35" ht="15.7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49"/>
      <c r="AB97" s="52"/>
      <c r="AC97" s="52"/>
      <c r="AD97" s="52"/>
      <c r="AE97" s="52"/>
      <c r="AF97" s="52"/>
      <c r="AG97" s="52"/>
      <c r="AH97" s="52"/>
      <c r="AI97" s="52"/>
    </row>
    <row r="98" spans="1:35" ht="15.7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49"/>
      <c r="AB98" s="52"/>
      <c r="AC98" s="52"/>
      <c r="AD98" s="52"/>
      <c r="AE98" s="52"/>
      <c r="AF98" s="52"/>
      <c r="AG98" s="52"/>
      <c r="AH98" s="52"/>
      <c r="AI98" s="52"/>
    </row>
    <row r="99" spans="1:35" ht="15.7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49"/>
      <c r="AB99" s="52"/>
      <c r="AC99" s="52"/>
      <c r="AD99" s="52"/>
      <c r="AE99" s="52"/>
      <c r="AF99" s="52"/>
      <c r="AG99" s="52"/>
      <c r="AH99" s="52"/>
      <c r="AI99" s="52"/>
    </row>
    <row r="100" spans="1:35" ht="15.7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49"/>
      <c r="AB100" s="52"/>
      <c r="AC100" s="52"/>
      <c r="AD100" s="52"/>
      <c r="AE100" s="52"/>
      <c r="AF100" s="52"/>
      <c r="AG100" s="52"/>
      <c r="AH100" s="52"/>
      <c r="AI100" s="52"/>
    </row>
    <row r="101" spans="1:35" ht="15.7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49"/>
      <c r="AB101" s="52"/>
      <c r="AC101" s="52"/>
      <c r="AD101" s="52"/>
      <c r="AE101" s="52"/>
      <c r="AF101" s="52"/>
      <c r="AG101" s="52"/>
      <c r="AH101" s="52"/>
      <c r="AI101" s="52"/>
    </row>
    <row r="102" spans="1:35" ht="15.7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49"/>
      <c r="AB102" s="52"/>
      <c r="AC102" s="52"/>
      <c r="AD102" s="52"/>
      <c r="AE102" s="52"/>
      <c r="AF102" s="52"/>
      <c r="AG102" s="52"/>
      <c r="AH102" s="52"/>
      <c r="AI102" s="52"/>
    </row>
    <row r="103" spans="1:35" ht="15.7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49"/>
      <c r="AB103" s="52"/>
      <c r="AC103" s="52"/>
      <c r="AD103" s="52"/>
      <c r="AE103" s="52"/>
      <c r="AF103" s="52"/>
      <c r="AG103" s="52"/>
      <c r="AH103" s="52"/>
      <c r="AI103" s="52"/>
    </row>
    <row r="104" spans="1:35" ht="15.7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49"/>
      <c r="AB104" s="52"/>
      <c r="AC104" s="52"/>
      <c r="AD104" s="52"/>
      <c r="AE104" s="52"/>
      <c r="AF104" s="52"/>
      <c r="AG104" s="52"/>
      <c r="AH104" s="52"/>
      <c r="AI104" s="52"/>
    </row>
    <row r="105" spans="1:35" ht="15.7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49"/>
      <c r="AB105" s="52"/>
      <c r="AC105" s="52"/>
      <c r="AD105" s="52"/>
      <c r="AE105" s="52"/>
      <c r="AF105" s="52"/>
      <c r="AG105" s="52"/>
      <c r="AH105" s="52"/>
      <c r="AI105" s="52"/>
    </row>
    <row r="106" spans="1:35" ht="15.7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49"/>
      <c r="AB106" s="52"/>
      <c r="AC106" s="52"/>
      <c r="AD106" s="52"/>
      <c r="AE106" s="52"/>
      <c r="AF106" s="52"/>
      <c r="AG106" s="52"/>
      <c r="AH106" s="52"/>
      <c r="AI106" s="52"/>
    </row>
    <row r="107" spans="1:35" ht="15.7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49"/>
      <c r="AB107" s="52"/>
      <c r="AC107" s="52"/>
      <c r="AD107" s="52"/>
      <c r="AE107" s="52"/>
      <c r="AF107" s="52"/>
      <c r="AG107" s="52"/>
      <c r="AH107" s="52"/>
      <c r="AI107" s="52"/>
    </row>
    <row r="108" spans="1:35" ht="15.7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49"/>
      <c r="AB108" s="52"/>
      <c r="AC108" s="52"/>
      <c r="AD108" s="52"/>
      <c r="AE108" s="52"/>
      <c r="AF108" s="52"/>
      <c r="AG108" s="52"/>
      <c r="AH108" s="52"/>
      <c r="AI108" s="52"/>
    </row>
    <row r="109" spans="1:35" ht="15.7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49"/>
      <c r="AB109" s="52"/>
      <c r="AC109" s="52"/>
      <c r="AD109" s="52"/>
      <c r="AE109" s="52"/>
      <c r="AF109" s="52"/>
      <c r="AG109" s="52"/>
      <c r="AH109" s="52"/>
      <c r="AI109" s="52"/>
    </row>
    <row r="110" spans="1:35" ht="15.7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49"/>
      <c r="AB110" s="52"/>
      <c r="AC110" s="52"/>
      <c r="AD110" s="52"/>
      <c r="AE110" s="52"/>
      <c r="AF110" s="52"/>
      <c r="AG110" s="52"/>
      <c r="AH110" s="52"/>
      <c r="AI110" s="52"/>
    </row>
    <row r="111" spans="1:35" ht="15.7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49"/>
      <c r="AB111" s="52"/>
      <c r="AC111" s="52"/>
      <c r="AD111" s="52"/>
      <c r="AE111" s="52"/>
      <c r="AF111" s="52"/>
      <c r="AG111" s="52"/>
      <c r="AH111" s="52"/>
      <c r="AI111" s="52"/>
    </row>
    <row r="112" spans="1:35" ht="15.7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49"/>
      <c r="AB112" s="52"/>
      <c r="AC112" s="52"/>
      <c r="AD112" s="52"/>
      <c r="AE112" s="52"/>
      <c r="AF112" s="52"/>
      <c r="AG112" s="52"/>
      <c r="AH112" s="52"/>
      <c r="AI112" s="52"/>
    </row>
    <row r="113" spans="1:35" ht="15.7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49"/>
      <c r="AB113" s="52"/>
      <c r="AC113" s="52"/>
      <c r="AD113" s="52"/>
      <c r="AE113" s="52"/>
      <c r="AF113" s="52"/>
      <c r="AG113" s="52"/>
      <c r="AH113" s="52"/>
      <c r="AI113" s="52"/>
    </row>
    <row r="114" spans="1:35" ht="15.7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49"/>
      <c r="AB114" s="52"/>
      <c r="AC114" s="52"/>
      <c r="AD114" s="52"/>
      <c r="AE114" s="52"/>
      <c r="AF114" s="52"/>
      <c r="AG114" s="52"/>
      <c r="AH114" s="52"/>
      <c r="AI114" s="52"/>
    </row>
    <row r="115" spans="1:35" ht="15.7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49"/>
      <c r="AB115" s="52"/>
      <c r="AC115" s="52"/>
      <c r="AD115" s="52"/>
      <c r="AE115" s="52"/>
      <c r="AF115" s="52"/>
      <c r="AG115" s="52"/>
      <c r="AH115" s="52"/>
      <c r="AI115" s="52"/>
    </row>
    <row r="116" spans="1:35" ht="15.7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49"/>
      <c r="AB116" s="52"/>
      <c r="AC116" s="52"/>
      <c r="AD116" s="52"/>
      <c r="AE116" s="52"/>
      <c r="AF116" s="52"/>
      <c r="AG116" s="52"/>
      <c r="AH116" s="52"/>
      <c r="AI116" s="52"/>
    </row>
    <row r="117" spans="1:35" ht="15.7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49"/>
      <c r="AB117" s="52"/>
      <c r="AC117" s="52"/>
      <c r="AD117" s="52"/>
      <c r="AE117" s="52"/>
      <c r="AF117" s="52"/>
      <c r="AG117" s="52"/>
      <c r="AH117" s="52"/>
      <c r="AI117" s="52"/>
    </row>
    <row r="118" spans="1:35" ht="15.7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49"/>
      <c r="AB118" s="52"/>
      <c r="AC118" s="52"/>
      <c r="AD118" s="52"/>
      <c r="AE118" s="52"/>
      <c r="AF118" s="52"/>
      <c r="AG118" s="52"/>
      <c r="AH118" s="52"/>
      <c r="AI118" s="52"/>
    </row>
    <row r="119" spans="1:35" ht="15.7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49"/>
      <c r="AB119" s="52"/>
      <c r="AC119" s="52"/>
      <c r="AD119" s="52"/>
      <c r="AE119" s="52"/>
      <c r="AF119" s="52"/>
      <c r="AG119" s="52"/>
      <c r="AH119" s="52"/>
      <c r="AI119" s="52"/>
    </row>
    <row r="120" spans="1:35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49"/>
      <c r="AB120" s="52"/>
      <c r="AC120" s="52"/>
      <c r="AD120" s="52"/>
      <c r="AE120" s="52"/>
      <c r="AF120" s="52"/>
      <c r="AG120" s="52"/>
      <c r="AH120" s="52"/>
      <c r="AI120" s="52"/>
    </row>
    <row r="121" spans="1:35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49"/>
      <c r="AB121" s="52"/>
      <c r="AC121" s="52"/>
      <c r="AD121" s="52"/>
      <c r="AE121" s="52"/>
      <c r="AF121" s="52"/>
      <c r="AG121" s="52"/>
      <c r="AH121" s="52"/>
      <c r="AI121" s="52"/>
    </row>
    <row r="122" spans="1:35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49"/>
      <c r="AB122" s="52"/>
      <c r="AC122" s="52"/>
      <c r="AD122" s="52"/>
      <c r="AE122" s="52"/>
      <c r="AF122" s="52"/>
      <c r="AG122" s="52"/>
      <c r="AH122" s="52"/>
      <c r="AI122" s="52"/>
    </row>
    <row r="123" spans="1:35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49"/>
      <c r="AB123" s="52"/>
      <c r="AC123" s="52"/>
      <c r="AD123" s="52"/>
      <c r="AE123" s="52"/>
      <c r="AF123" s="52"/>
      <c r="AG123" s="52"/>
      <c r="AH123" s="52"/>
      <c r="AI123" s="52"/>
    </row>
    <row r="124" spans="1:35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49"/>
      <c r="AB124" s="52"/>
      <c r="AC124" s="52"/>
      <c r="AD124" s="52"/>
      <c r="AE124" s="52"/>
      <c r="AF124" s="52"/>
      <c r="AG124" s="52"/>
      <c r="AH124" s="52"/>
      <c r="AI124" s="52"/>
    </row>
    <row r="125" spans="1:3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49"/>
      <c r="AB125" s="52"/>
      <c r="AC125" s="52"/>
      <c r="AD125" s="52"/>
      <c r="AE125" s="52"/>
      <c r="AF125" s="52"/>
      <c r="AG125" s="52"/>
      <c r="AH125" s="52"/>
      <c r="AI125" s="52"/>
    </row>
    <row r="126" spans="1:35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49"/>
      <c r="AB126" s="52"/>
      <c r="AC126" s="52"/>
      <c r="AD126" s="52"/>
      <c r="AE126" s="52"/>
      <c r="AF126" s="52"/>
      <c r="AG126" s="52"/>
      <c r="AH126" s="52"/>
      <c r="AI126" s="52"/>
    </row>
    <row r="127" spans="1:35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49"/>
      <c r="AB127" s="52"/>
      <c r="AC127" s="52"/>
      <c r="AD127" s="52"/>
      <c r="AE127" s="52"/>
      <c r="AF127" s="52"/>
      <c r="AG127" s="52"/>
      <c r="AH127" s="52"/>
      <c r="AI127" s="52"/>
    </row>
    <row r="128" spans="1:35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49"/>
      <c r="AB128" s="52"/>
      <c r="AC128" s="52"/>
      <c r="AD128" s="52"/>
      <c r="AE128" s="52"/>
      <c r="AF128" s="52"/>
      <c r="AG128" s="52"/>
      <c r="AH128" s="52"/>
      <c r="AI128" s="52"/>
    </row>
    <row r="129" spans="1:35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49"/>
      <c r="AB129" s="52"/>
      <c r="AC129" s="52"/>
      <c r="AD129" s="52"/>
      <c r="AE129" s="52"/>
      <c r="AF129" s="52"/>
      <c r="AG129" s="52"/>
      <c r="AH129" s="52"/>
      <c r="AI129" s="52"/>
    </row>
    <row r="130" spans="1:35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49"/>
      <c r="AB130" s="52"/>
      <c r="AC130" s="52"/>
      <c r="AD130" s="52"/>
      <c r="AE130" s="52"/>
      <c r="AF130" s="52"/>
      <c r="AG130" s="52"/>
      <c r="AH130" s="52"/>
      <c r="AI130" s="52"/>
    </row>
    <row r="131" spans="1:35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49"/>
      <c r="AB131" s="52"/>
      <c r="AC131" s="52"/>
      <c r="AD131" s="52"/>
      <c r="AE131" s="52"/>
      <c r="AF131" s="52"/>
      <c r="AG131" s="52"/>
      <c r="AH131" s="52"/>
      <c r="AI131" s="52"/>
    </row>
    <row r="132" spans="1:35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49"/>
      <c r="AB132" s="52"/>
      <c r="AC132" s="52"/>
      <c r="AD132" s="52"/>
      <c r="AE132" s="52"/>
      <c r="AF132" s="52"/>
      <c r="AG132" s="52"/>
      <c r="AH132" s="52"/>
      <c r="AI132" s="52"/>
    </row>
    <row r="133" spans="1:35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49"/>
      <c r="AB133" s="52"/>
      <c r="AC133" s="52"/>
      <c r="AD133" s="52"/>
      <c r="AE133" s="52"/>
      <c r="AF133" s="52"/>
      <c r="AG133" s="52"/>
      <c r="AH133" s="52"/>
      <c r="AI133" s="52"/>
    </row>
    <row r="134" spans="1:35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49"/>
      <c r="AB134" s="52"/>
      <c r="AC134" s="52"/>
      <c r="AD134" s="52"/>
      <c r="AE134" s="52"/>
      <c r="AF134" s="52"/>
      <c r="AG134" s="52"/>
      <c r="AH134" s="52"/>
      <c r="AI134" s="52"/>
    </row>
    <row r="135" spans="1: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49"/>
      <c r="AB135" s="52"/>
      <c r="AC135" s="52"/>
      <c r="AD135" s="52"/>
      <c r="AE135" s="52"/>
      <c r="AF135" s="52"/>
      <c r="AG135" s="52"/>
      <c r="AH135" s="52"/>
      <c r="AI135" s="52"/>
    </row>
    <row r="136" spans="1:35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49"/>
      <c r="AB136" s="52"/>
      <c r="AC136" s="52"/>
      <c r="AD136" s="52"/>
      <c r="AE136" s="52"/>
      <c r="AF136" s="52"/>
      <c r="AG136" s="52"/>
      <c r="AH136" s="52"/>
      <c r="AI136" s="52"/>
    </row>
    <row r="137" spans="1:35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49"/>
      <c r="AB137" s="52"/>
      <c r="AC137" s="52"/>
      <c r="AD137" s="52"/>
      <c r="AE137" s="52"/>
      <c r="AF137" s="52"/>
      <c r="AG137" s="52"/>
      <c r="AH137" s="52"/>
      <c r="AI137" s="52"/>
    </row>
    <row r="138" spans="1:35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49"/>
      <c r="AB138" s="52"/>
      <c r="AC138" s="52"/>
      <c r="AD138" s="52"/>
      <c r="AE138" s="52"/>
      <c r="AF138" s="52"/>
      <c r="AG138" s="52"/>
      <c r="AH138" s="52"/>
      <c r="AI138" s="52"/>
    </row>
    <row r="139" spans="1:35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49"/>
      <c r="AB139" s="52"/>
      <c r="AC139" s="52"/>
      <c r="AD139" s="52"/>
      <c r="AE139" s="52"/>
      <c r="AF139" s="52"/>
      <c r="AG139" s="52"/>
      <c r="AH139" s="52"/>
      <c r="AI139" s="52"/>
    </row>
    <row r="140" spans="1:35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49"/>
      <c r="AB140" s="52"/>
      <c r="AC140" s="52"/>
      <c r="AD140" s="52"/>
      <c r="AE140" s="52"/>
      <c r="AF140" s="52"/>
      <c r="AG140" s="52"/>
      <c r="AH140" s="52"/>
      <c r="AI140" s="52"/>
    </row>
    <row r="141" spans="1:35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49"/>
      <c r="AB141" s="52"/>
      <c r="AC141" s="52"/>
      <c r="AD141" s="52"/>
      <c r="AE141" s="52"/>
      <c r="AF141" s="52"/>
      <c r="AG141" s="52"/>
      <c r="AH141" s="52"/>
      <c r="AI141" s="52"/>
    </row>
    <row r="142" spans="1:35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49"/>
      <c r="AB142" s="52"/>
      <c r="AC142" s="52"/>
      <c r="AD142" s="52"/>
      <c r="AE142" s="52"/>
      <c r="AF142" s="52"/>
      <c r="AG142" s="52"/>
      <c r="AH142" s="52"/>
      <c r="AI142" s="52"/>
    </row>
    <row r="143" spans="1:35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49"/>
      <c r="AB143" s="52"/>
      <c r="AC143" s="52"/>
      <c r="AD143" s="52"/>
      <c r="AE143" s="52"/>
      <c r="AF143" s="52"/>
      <c r="AG143" s="52"/>
      <c r="AH143" s="52"/>
      <c r="AI143" s="52"/>
    </row>
    <row r="144" spans="1:35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49"/>
      <c r="AB144" s="52"/>
      <c r="AC144" s="52"/>
      <c r="AD144" s="52"/>
      <c r="AE144" s="52"/>
      <c r="AF144" s="52"/>
      <c r="AG144" s="52"/>
      <c r="AH144" s="52"/>
      <c r="AI144" s="52"/>
    </row>
    <row r="145" spans="1:3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49"/>
      <c r="AB145" s="52"/>
      <c r="AC145" s="52"/>
      <c r="AD145" s="52"/>
      <c r="AE145" s="52"/>
      <c r="AF145" s="52"/>
      <c r="AG145" s="52"/>
      <c r="AH145" s="52"/>
      <c r="AI145" s="52"/>
    </row>
    <row r="146" spans="1:35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49"/>
      <c r="AB146" s="52"/>
      <c r="AC146" s="52"/>
      <c r="AD146" s="52"/>
      <c r="AE146" s="52"/>
      <c r="AF146" s="52"/>
      <c r="AG146" s="52"/>
      <c r="AH146" s="52"/>
      <c r="AI146" s="52"/>
    </row>
    <row r="147" spans="1:35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49"/>
      <c r="AB147" s="52"/>
      <c r="AC147" s="52"/>
      <c r="AD147" s="52"/>
      <c r="AE147" s="52"/>
      <c r="AF147" s="52"/>
      <c r="AG147" s="52"/>
      <c r="AH147" s="52"/>
      <c r="AI147" s="52"/>
    </row>
    <row r="148" spans="1:35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49"/>
      <c r="AB148" s="52"/>
      <c r="AC148" s="52"/>
      <c r="AD148" s="52"/>
      <c r="AE148" s="52"/>
      <c r="AF148" s="52"/>
      <c r="AG148" s="52"/>
      <c r="AH148" s="52"/>
      <c r="AI148" s="52"/>
    </row>
    <row r="149" spans="1:35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49"/>
      <c r="AB149" s="52"/>
      <c r="AC149" s="52"/>
      <c r="AD149" s="52"/>
      <c r="AE149" s="52"/>
      <c r="AF149" s="52"/>
      <c r="AG149" s="52"/>
      <c r="AH149" s="52"/>
      <c r="AI149" s="52"/>
    </row>
    <row r="150" spans="1:35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49"/>
      <c r="AB150" s="52"/>
      <c r="AC150" s="52"/>
      <c r="AD150" s="52"/>
      <c r="AE150" s="52"/>
      <c r="AF150" s="52"/>
      <c r="AG150" s="52"/>
      <c r="AH150" s="52"/>
      <c r="AI150" s="52"/>
    </row>
    <row r="151" spans="1:35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49"/>
      <c r="AB151" s="52"/>
      <c r="AC151" s="52"/>
      <c r="AD151" s="52"/>
      <c r="AE151" s="52"/>
      <c r="AF151" s="52"/>
      <c r="AG151" s="52"/>
      <c r="AH151" s="52"/>
      <c r="AI151" s="52"/>
    </row>
    <row r="152" spans="1:35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49"/>
      <c r="AB152" s="52"/>
      <c r="AC152" s="52"/>
      <c r="AD152" s="52"/>
      <c r="AE152" s="52"/>
      <c r="AF152" s="52"/>
      <c r="AG152" s="52"/>
      <c r="AH152" s="52"/>
      <c r="AI152" s="52"/>
    </row>
    <row r="153" spans="1:35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49"/>
      <c r="AB153" s="52"/>
      <c r="AC153" s="52"/>
      <c r="AD153" s="52"/>
      <c r="AE153" s="52"/>
      <c r="AF153" s="52"/>
      <c r="AG153" s="52"/>
      <c r="AH153" s="52"/>
      <c r="AI153" s="52"/>
    </row>
    <row r="154" spans="1:35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49"/>
      <c r="AB154" s="52"/>
      <c r="AC154" s="52"/>
      <c r="AD154" s="52"/>
      <c r="AE154" s="52"/>
      <c r="AF154" s="52"/>
      <c r="AG154" s="52"/>
      <c r="AH154" s="52"/>
      <c r="AI154" s="52"/>
    </row>
    <row r="155" spans="1:3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49"/>
      <c r="AB155" s="52"/>
      <c r="AC155" s="52"/>
      <c r="AD155" s="52"/>
      <c r="AE155" s="52"/>
      <c r="AF155" s="52"/>
      <c r="AG155" s="52"/>
      <c r="AH155" s="52"/>
      <c r="AI155" s="52"/>
    </row>
    <row r="156" spans="1:35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49"/>
      <c r="AB156" s="52"/>
      <c r="AC156" s="52"/>
      <c r="AD156" s="52"/>
      <c r="AE156" s="52"/>
      <c r="AF156" s="52"/>
      <c r="AG156" s="52"/>
      <c r="AH156" s="52"/>
      <c r="AI156" s="52"/>
    </row>
    <row r="157" spans="1:35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49"/>
      <c r="AB157" s="52"/>
      <c r="AC157" s="52"/>
      <c r="AD157" s="52"/>
      <c r="AE157" s="52"/>
      <c r="AF157" s="52"/>
      <c r="AG157" s="52"/>
      <c r="AH157" s="52"/>
      <c r="AI157" s="52"/>
    </row>
    <row r="158" spans="1:35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49"/>
      <c r="AB158" s="52"/>
      <c r="AC158" s="52"/>
      <c r="AD158" s="52"/>
      <c r="AE158" s="52"/>
      <c r="AF158" s="52"/>
      <c r="AG158" s="52"/>
      <c r="AH158" s="52"/>
      <c r="AI158" s="52"/>
    </row>
    <row r="159" spans="1:35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49"/>
      <c r="AB159" s="52"/>
      <c r="AC159" s="52"/>
      <c r="AD159" s="52"/>
      <c r="AE159" s="52"/>
      <c r="AF159" s="52"/>
      <c r="AG159" s="52"/>
      <c r="AH159" s="52"/>
      <c r="AI159" s="52"/>
    </row>
    <row r="160" spans="1:35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49"/>
      <c r="AB160" s="52"/>
      <c r="AC160" s="52"/>
      <c r="AD160" s="52"/>
      <c r="AE160" s="52"/>
      <c r="AF160" s="52"/>
      <c r="AG160" s="52"/>
      <c r="AH160" s="52"/>
      <c r="AI160" s="52"/>
    </row>
    <row r="161" spans="1:35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49"/>
      <c r="AB161" s="52"/>
      <c r="AC161" s="52"/>
      <c r="AD161" s="52"/>
      <c r="AE161" s="52"/>
      <c r="AF161" s="52"/>
      <c r="AG161" s="52"/>
      <c r="AH161" s="52"/>
      <c r="AI161" s="52"/>
    </row>
    <row r="162" spans="1:35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49"/>
      <c r="AB162" s="52"/>
      <c r="AC162" s="52"/>
      <c r="AD162" s="52"/>
      <c r="AE162" s="52"/>
      <c r="AF162" s="52"/>
      <c r="AG162" s="52"/>
      <c r="AH162" s="52"/>
      <c r="AI162" s="52"/>
    </row>
    <row r="163" spans="1:35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49"/>
      <c r="AB163" s="52"/>
      <c r="AC163" s="52"/>
      <c r="AD163" s="52"/>
      <c r="AE163" s="52"/>
      <c r="AF163" s="52"/>
      <c r="AG163" s="52"/>
      <c r="AH163" s="52"/>
      <c r="AI163" s="52"/>
    </row>
    <row r="164" spans="1:35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49"/>
      <c r="AB164" s="52"/>
      <c r="AC164" s="52"/>
      <c r="AD164" s="52"/>
      <c r="AE164" s="52"/>
      <c r="AF164" s="52"/>
      <c r="AG164" s="52"/>
      <c r="AH164" s="52"/>
      <c r="AI164" s="52"/>
    </row>
    <row r="165" spans="1:3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49"/>
      <c r="AB165" s="52"/>
      <c r="AC165" s="52"/>
      <c r="AD165" s="52"/>
      <c r="AE165" s="52"/>
      <c r="AF165" s="52"/>
      <c r="AG165" s="52"/>
      <c r="AH165" s="52"/>
      <c r="AI165" s="52"/>
    </row>
    <row r="166" spans="1:35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49"/>
      <c r="AB166" s="52"/>
      <c r="AC166" s="52"/>
      <c r="AD166" s="52"/>
      <c r="AE166" s="52"/>
      <c r="AF166" s="52"/>
      <c r="AG166" s="52"/>
      <c r="AH166" s="52"/>
      <c r="AI166" s="52"/>
    </row>
    <row r="167" spans="1:35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49"/>
      <c r="AB167" s="52"/>
      <c r="AC167" s="52"/>
      <c r="AD167" s="52"/>
      <c r="AE167" s="52"/>
      <c r="AF167" s="52"/>
      <c r="AG167" s="52"/>
      <c r="AH167" s="52"/>
      <c r="AI167" s="52"/>
    </row>
    <row r="168" spans="1:35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49"/>
      <c r="AB168" s="52"/>
      <c r="AC168" s="52"/>
      <c r="AD168" s="52"/>
      <c r="AE168" s="52"/>
      <c r="AF168" s="52"/>
      <c r="AG168" s="52"/>
      <c r="AH168" s="52"/>
      <c r="AI168" s="52"/>
    </row>
    <row r="169" spans="1:35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49"/>
      <c r="AB169" s="52"/>
      <c r="AC169" s="52"/>
      <c r="AD169" s="52"/>
      <c r="AE169" s="52"/>
      <c r="AF169" s="52"/>
      <c r="AG169" s="52"/>
      <c r="AH169" s="52"/>
      <c r="AI169" s="52"/>
    </row>
    <row r="170" spans="1:35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49"/>
      <c r="AB170" s="52"/>
      <c r="AC170" s="52"/>
      <c r="AD170" s="52"/>
      <c r="AE170" s="52"/>
      <c r="AF170" s="52"/>
      <c r="AG170" s="52"/>
      <c r="AH170" s="52"/>
      <c r="AI170" s="52"/>
    </row>
    <row r="171" spans="1:35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49"/>
      <c r="AB171" s="52"/>
      <c r="AC171" s="52"/>
      <c r="AD171" s="52"/>
      <c r="AE171" s="52"/>
      <c r="AF171" s="52"/>
      <c r="AG171" s="52"/>
      <c r="AH171" s="52"/>
      <c r="AI171" s="52"/>
    </row>
    <row r="172" spans="1:35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49"/>
      <c r="AB172" s="52"/>
      <c r="AC172" s="52"/>
      <c r="AD172" s="52"/>
      <c r="AE172" s="52"/>
      <c r="AF172" s="52"/>
      <c r="AG172" s="52"/>
      <c r="AH172" s="52"/>
      <c r="AI172" s="52"/>
    </row>
    <row r="173" spans="1:35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49"/>
      <c r="AB173" s="52"/>
      <c r="AC173" s="52"/>
      <c r="AD173" s="52"/>
      <c r="AE173" s="52"/>
      <c r="AF173" s="52"/>
      <c r="AG173" s="52"/>
      <c r="AH173" s="52"/>
      <c r="AI173" s="52"/>
    </row>
    <row r="174" spans="1:35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49"/>
      <c r="AB174" s="52"/>
      <c r="AC174" s="52"/>
      <c r="AD174" s="52"/>
      <c r="AE174" s="52"/>
      <c r="AF174" s="52"/>
      <c r="AG174" s="52"/>
      <c r="AH174" s="52"/>
      <c r="AI174" s="52"/>
    </row>
    <row r="175" spans="1:3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49"/>
      <c r="AB175" s="52"/>
      <c r="AC175" s="52"/>
      <c r="AD175" s="52"/>
      <c r="AE175" s="52"/>
      <c r="AF175" s="52"/>
      <c r="AG175" s="52"/>
      <c r="AH175" s="52"/>
      <c r="AI175" s="52"/>
    </row>
    <row r="176" spans="1:35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49"/>
      <c r="AB176" s="52"/>
      <c r="AC176" s="52"/>
      <c r="AD176" s="52"/>
      <c r="AE176" s="52"/>
      <c r="AF176" s="52"/>
      <c r="AG176" s="52"/>
      <c r="AH176" s="52"/>
      <c r="AI176" s="52"/>
    </row>
    <row r="177" spans="1:35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49"/>
      <c r="AB177" s="52"/>
      <c r="AC177" s="52"/>
      <c r="AD177" s="52"/>
      <c r="AE177" s="52"/>
      <c r="AF177" s="52"/>
      <c r="AG177" s="52"/>
      <c r="AH177" s="52"/>
      <c r="AI177" s="52"/>
    </row>
    <row r="178" spans="1:35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49"/>
      <c r="AB178" s="52"/>
      <c r="AC178" s="52"/>
      <c r="AD178" s="52"/>
      <c r="AE178" s="52"/>
      <c r="AF178" s="52"/>
      <c r="AG178" s="52"/>
      <c r="AH178" s="52"/>
      <c r="AI178" s="52"/>
    </row>
    <row r="179" spans="1:35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49"/>
      <c r="AB179" s="52"/>
      <c r="AC179" s="52"/>
      <c r="AD179" s="52"/>
      <c r="AE179" s="52"/>
      <c r="AF179" s="52"/>
      <c r="AG179" s="52"/>
      <c r="AH179" s="52"/>
      <c r="AI179" s="52"/>
    </row>
    <row r="180" spans="1:35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49"/>
      <c r="AB180" s="52"/>
      <c r="AC180" s="52"/>
      <c r="AD180" s="52"/>
      <c r="AE180" s="52"/>
      <c r="AF180" s="52"/>
      <c r="AG180" s="52"/>
      <c r="AH180" s="52"/>
      <c r="AI180" s="52"/>
    </row>
    <row r="181" spans="1:35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49"/>
      <c r="AB181" s="52"/>
      <c r="AC181" s="52"/>
      <c r="AD181" s="52"/>
      <c r="AE181" s="52"/>
      <c r="AF181" s="52"/>
      <c r="AG181" s="52"/>
      <c r="AH181" s="52"/>
      <c r="AI181" s="52"/>
    </row>
    <row r="182" spans="1:35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49"/>
      <c r="AB182" s="52"/>
      <c r="AC182" s="52"/>
      <c r="AD182" s="52"/>
      <c r="AE182" s="52"/>
      <c r="AF182" s="52"/>
      <c r="AG182" s="52"/>
      <c r="AH182" s="52"/>
      <c r="AI182" s="52"/>
    </row>
    <row r="183" spans="1:35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49"/>
      <c r="AB183" s="52"/>
      <c r="AC183" s="52"/>
      <c r="AD183" s="52"/>
      <c r="AE183" s="52"/>
      <c r="AF183" s="52"/>
      <c r="AG183" s="52"/>
      <c r="AH183" s="52"/>
      <c r="AI183" s="52"/>
    </row>
    <row r="184" spans="1:35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49"/>
      <c r="AB184" s="52"/>
      <c r="AC184" s="52"/>
      <c r="AD184" s="52"/>
      <c r="AE184" s="52"/>
      <c r="AF184" s="52"/>
      <c r="AG184" s="52"/>
      <c r="AH184" s="52"/>
      <c r="AI184" s="52"/>
    </row>
    <row r="185" spans="1:3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49"/>
      <c r="AB185" s="52"/>
      <c r="AC185" s="52"/>
      <c r="AD185" s="52"/>
      <c r="AE185" s="52"/>
      <c r="AF185" s="52"/>
      <c r="AG185" s="52"/>
      <c r="AH185" s="52"/>
      <c r="AI185" s="52"/>
    </row>
    <row r="186" spans="1:35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49"/>
      <c r="AB186" s="52"/>
      <c r="AC186" s="52"/>
      <c r="AD186" s="52"/>
      <c r="AE186" s="52"/>
      <c r="AF186" s="52"/>
      <c r="AG186" s="52"/>
      <c r="AH186" s="52"/>
      <c r="AI186" s="52"/>
    </row>
    <row r="187" spans="1:35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49"/>
      <c r="AB187" s="52"/>
      <c r="AC187" s="52"/>
      <c r="AD187" s="52"/>
      <c r="AE187" s="52"/>
      <c r="AF187" s="52"/>
      <c r="AG187" s="52"/>
      <c r="AH187" s="52"/>
      <c r="AI187" s="52"/>
    </row>
    <row r="188" spans="1:35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49"/>
      <c r="AB188" s="52"/>
      <c r="AC188" s="52"/>
      <c r="AD188" s="52"/>
      <c r="AE188" s="52"/>
      <c r="AF188" s="52"/>
      <c r="AG188" s="52"/>
      <c r="AH188" s="52"/>
      <c r="AI188" s="52"/>
    </row>
    <row r="189" spans="1:35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49"/>
      <c r="AB189" s="52"/>
      <c r="AC189" s="52"/>
      <c r="AD189" s="52"/>
      <c r="AE189" s="52"/>
      <c r="AF189" s="52"/>
      <c r="AG189" s="52"/>
      <c r="AH189" s="52"/>
      <c r="AI189" s="52"/>
    </row>
    <row r="190" spans="1:35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49"/>
      <c r="AB190" s="52"/>
      <c r="AC190" s="52"/>
      <c r="AD190" s="52"/>
      <c r="AE190" s="52"/>
      <c r="AF190" s="52"/>
      <c r="AG190" s="52"/>
      <c r="AH190" s="52"/>
      <c r="AI190" s="52"/>
    </row>
    <row r="191" spans="1:35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49"/>
      <c r="AB191" s="52"/>
      <c r="AC191" s="52"/>
      <c r="AD191" s="52"/>
      <c r="AE191" s="52"/>
      <c r="AF191" s="52"/>
      <c r="AG191" s="52"/>
      <c r="AH191" s="52"/>
      <c r="AI191" s="52"/>
    </row>
    <row r="192" spans="1:35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49"/>
      <c r="AB192" s="52"/>
      <c r="AC192" s="52"/>
      <c r="AD192" s="52"/>
      <c r="AE192" s="52"/>
      <c r="AF192" s="52"/>
      <c r="AG192" s="52"/>
      <c r="AH192" s="52"/>
      <c r="AI192" s="52"/>
    </row>
    <row r="193" spans="1:35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49"/>
      <c r="AB193" s="52"/>
      <c r="AC193" s="52"/>
      <c r="AD193" s="52"/>
      <c r="AE193" s="52"/>
      <c r="AF193" s="52"/>
      <c r="AG193" s="52"/>
      <c r="AH193" s="52"/>
      <c r="AI193" s="52"/>
    </row>
    <row r="194" spans="1:35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49"/>
      <c r="AB194" s="52"/>
      <c r="AC194" s="52"/>
      <c r="AD194" s="52"/>
      <c r="AE194" s="52"/>
      <c r="AF194" s="52"/>
      <c r="AG194" s="52"/>
      <c r="AH194" s="52"/>
      <c r="AI194" s="52"/>
    </row>
    <row r="195" spans="1:3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49"/>
      <c r="AB195" s="52"/>
      <c r="AC195" s="52"/>
      <c r="AD195" s="52"/>
      <c r="AE195" s="52"/>
      <c r="AF195" s="52"/>
      <c r="AG195" s="52"/>
      <c r="AH195" s="52"/>
      <c r="AI195" s="52"/>
    </row>
    <row r="196" spans="1:35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49"/>
      <c r="AB196" s="52"/>
      <c r="AC196" s="52"/>
      <c r="AD196" s="52"/>
      <c r="AE196" s="52"/>
      <c r="AF196" s="52"/>
      <c r="AG196" s="52"/>
      <c r="AH196" s="52"/>
      <c r="AI196" s="52"/>
    </row>
    <row r="197" spans="1:35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49"/>
      <c r="AB197" s="52"/>
      <c r="AC197" s="52"/>
      <c r="AD197" s="52"/>
      <c r="AE197" s="52"/>
      <c r="AF197" s="52"/>
      <c r="AG197" s="52"/>
      <c r="AH197" s="52"/>
      <c r="AI197" s="52"/>
    </row>
    <row r="198" spans="1:35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49"/>
      <c r="AB198" s="52"/>
      <c r="AC198" s="52"/>
      <c r="AD198" s="52"/>
      <c r="AE198" s="52"/>
      <c r="AF198" s="52"/>
      <c r="AG198" s="52"/>
      <c r="AH198" s="52"/>
      <c r="AI198" s="52"/>
    </row>
    <row r="199" spans="1:35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49"/>
      <c r="AB199" s="52"/>
      <c r="AC199" s="52"/>
      <c r="AD199" s="52"/>
      <c r="AE199" s="52"/>
      <c r="AF199" s="52"/>
      <c r="AG199" s="52"/>
      <c r="AH199" s="52"/>
      <c r="AI199" s="52"/>
    </row>
    <row r="200" spans="1:35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49"/>
      <c r="AB200" s="52"/>
      <c r="AC200" s="52"/>
      <c r="AD200" s="52"/>
      <c r="AE200" s="52"/>
      <c r="AF200" s="52"/>
      <c r="AG200" s="52"/>
      <c r="AH200" s="52"/>
      <c r="AI200" s="52"/>
    </row>
    <row r="201" spans="1:35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49"/>
      <c r="AB201" s="52"/>
      <c r="AC201" s="52"/>
      <c r="AD201" s="52"/>
      <c r="AE201" s="52"/>
      <c r="AF201" s="52"/>
      <c r="AG201" s="52"/>
      <c r="AH201" s="52"/>
      <c r="AI201" s="52"/>
    </row>
    <row r="202" spans="1:35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49"/>
      <c r="AB202" s="52"/>
      <c r="AC202" s="52"/>
      <c r="AD202" s="52"/>
      <c r="AE202" s="52"/>
      <c r="AF202" s="52"/>
      <c r="AG202" s="52"/>
      <c r="AH202" s="52"/>
      <c r="AI202" s="52"/>
    </row>
    <row r="203" spans="1:35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49"/>
      <c r="AB203" s="52"/>
      <c r="AC203" s="52"/>
      <c r="AD203" s="52"/>
      <c r="AE203" s="52"/>
      <c r="AF203" s="52"/>
      <c r="AG203" s="52"/>
      <c r="AH203" s="52"/>
      <c r="AI203" s="52"/>
    </row>
    <row r="204" spans="1:35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49"/>
      <c r="AB204" s="52"/>
      <c r="AC204" s="52"/>
      <c r="AD204" s="52"/>
      <c r="AE204" s="52"/>
      <c r="AF204" s="52"/>
      <c r="AG204" s="52"/>
      <c r="AH204" s="52"/>
      <c r="AI204" s="52"/>
    </row>
    <row r="205" spans="1:3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49"/>
      <c r="AB205" s="52"/>
      <c r="AC205" s="52"/>
      <c r="AD205" s="52"/>
      <c r="AE205" s="52"/>
      <c r="AF205" s="52"/>
      <c r="AG205" s="52"/>
      <c r="AH205" s="52"/>
      <c r="AI205" s="52"/>
    </row>
    <row r="206" spans="1:35" ht="15.7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49"/>
      <c r="AB206" s="52"/>
      <c r="AC206" s="52"/>
      <c r="AD206" s="52"/>
      <c r="AE206" s="52"/>
      <c r="AF206" s="52"/>
      <c r="AG206" s="52"/>
      <c r="AH206" s="52"/>
      <c r="AI206" s="52"/>
    </row>
    <row r="207" spans="1:35" ht="15.7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49"/>
      <c r="AB207" s="52"/>
      <c r="AC207" s="52"/>
      <c r="AD207" s="52"/>
      <c r="AE207" s="52"/>
      <c r="AF207" s="52"/>
      <c r="AG207" s="52"/>
      <c r="AH207" s="52"/>
      <c r="AI207" s="52"/>
    </row>
    <row r="208" spans="1:35" ht="15.7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49"/>
      <c r="AB208" s="52"/>
      <c r="AC208" s="52"/>
      <c r="AD208" s="52"/>
      <c r="AE208" s="52"/>
      <c r="AF208" s="52"/>
      <c r="AG208" s="52"/>
      <c r="AH208" s="52"/>
      <c r="AI208" s="52"/>
    </row>
    <row r="209" spans="1:35" ht="15.7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49"/>
      <c r="AB209" s="52"/>
      <c r="AC209" s="52"/>
      <c r="AD209" s="52"/>
      <c r="AE209" s="52"/>
      <c r="AF209" s="52"/>
      <c r="AG209" s="52"/>
      <c r="AH209" s="52"/>
      <c r="AI209" s="52"/>
    </row>
    <row r="210" spans="1:35" ht="15.7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49"/>
      <c r="AB210" s="52"/>
      <c r="AC210" s="52"/>
      <c r="AD210" s="52"/>
      <c r="AE210" s="52"/>
      <c r="AF210" s="52"/>
      <c r="AG210" s="52"/>
      <c r="AH210" s="52"/>
      <c r="AI210" s="52"/>
    </row>
    <row r="211" spans="1:35" ht="15.7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49"/>
      <c r="AB211" s="52"/>
      <c r="AC211" s="52"/>
      <c r="AD211" s="52"/>
      <c r="AE211" s="52"/>
      <c r="AF211" s="52"/>
      <c r="AG211" s="52"/>
      <c r="AH211" s="52"/>
      <c r="AI211" s="52"/>
    </row>
    <row r="212" spans="1:35" ht="15.7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49"/>
      <c r="AB212" s="52"/>
      <c r="AC212" s="52"/>
      <c r="AD212" s="52"/>
      <c r="AE212" s="52"/>
      <c r="AF212" s="52"/>
      <c r="AG212" s="52"/>
      <c r="AH212" s="52"/>
      <c r="AI212" s="52"/>
    </row>
    <row r="213" spans="1:35" ht="15.7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49"/>
      <c r="AB213" s="52"/>
      <c r="AC213" s="52"/>
      <c r="AD213" s="52"/>
      <c r="AE213" s="52"/>
      <c r="AF213" s="52"/>
      <c r="AG213" s="52"/>
      <c r="AH213" s="52"/>
      <c r="AI213" s="52"/>
    </row>
    <row r="214" spans="1:35" ht="15.7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49"/>
      <c r="AB214" s="52"/>
      <c r="AC214" s="52"/>
      <c r="AD214" s="52"/>
      <c r="AE214" s="52"/>
      <c r="AF214" s="52"/>
      <c r="AG214" s="52"/>
      <c r="AH214" s="52"/>
      <c r="AI214" s="52"/>
    </row>
    <row r="215" spans="1:35" ht="15.7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49"/>
      <c r="AB215" s="52"/>
      <c r="AC215" s="52"/>
      <c r="AD215" s="52"/>
      <c r="AE215" s="52"/>
      <c r="AF215" s="52"/>
      <c r="AG215" s="52"/>
      <c r="AH215" s="52"/>
      <c r="AI215" s="52"/>
    </row>
    <row r="216" spans="1:35" ht="15.7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49"/>
      <c r="AB216" s="52"/>
      <c r="AC216" s="52"/>
      <c r="AD216" s="52"/>
      <c r="AE216" s="52"/>
      <c r="AF216" s="52"/>
      <c r="AG216" s="52"/>
      <c r="AH216" s="52"/>
      <c r="AI216" s="52"/>
    </row>
    <row r="217" spans="1:35" ht="15.7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49"/>
      <c r="AB217" s="52"/>
      <c r="AC217" s="52"/>
      <c r="AD217" s="52"/>
      <c r="AE217" s="52"/>
      <c r="AF217" s="52"/>
      <c r="AG217" s="52"/>
      <c r="AH217" s="52"/>
      <c r="AI217" s="52"/>
    </row>
    <row r="218" spans="1:35" ht="15.7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49"/>
      <c r="AB218" s="52"/>
      <c r="AC218" s="52"/>
      <c r="AD218" s="52"/>
      <c r="AE218" s="52"/>
      <c r="AF218" s="52"/>
      <c r="AG218" s="52"/>
      <c r="AH218" s="52"/>
      <c r="AI218" s="52"/>
    </row>
    <row r="219" spans="1:35" ht="15.7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49"/>
      <c r="AB219" s="52"/>
      <c r="AC219" s="52"/>
      <c r="AD219" s="52"/>
      <c r="AE219" s="52"/>
      <c r="AF219" s="52"/>
      <c r="AG219" s="52"/>
      <c r="AH219" s="52"/>
      <c r="AI219" s="52"/>
    </row>
    <row r="220" spans="1:35" ht="15.7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49"/>
      <c r="AB220" s="52"/>
      <c r="AC220" s="52"/>
      <c r="AD220" s="52"/>
      <c r="AE220" s="52"/>
      <c r="AF220" s="52"/>
      <c r="AG220" s="52"/>
      <c r="AH220" s="52"/>
      <c r="AI220" s="52"/>
    </row>
    <row r="221" spans="1:35" ht="15.7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49"/>
      <c r="AB221" s="52"/>
      <c r="AC221" s="52"/>
      <c r="AD221" s="52"/>
      <c r="AE221" s="52"/>
      <c r="AF221" s="52"/>
      <c r="AG221" s="52"/>
      <c r="AH221" s="52"/>
      <c r="AI221" s="52"/>
    </row>
    <row r="222" spans="1:35" ht="15.7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49"/>
      <c r="AB222" s="52"/>
      <c r="AC222" s="52"/>
      <c r="AD222" s="52"/>
      <c r="AE222" s="52"/>
      <c r="AF222" s="52"/>
      <c r="AG222" s="52"/>
      <c r="AH222" s="52"/>
      <c r="AI222" s="52"/>
    </row>
    <row r="223" spans="1:35" ht="15.7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49"/>
      <c r="AB223" s="52"/>
      <c r="AC223" s="52"/>
      <c r="AD223" s="52"/>
      <c r="AE223" s="52"/>
      <c r="AF223" s="52"/>
      <c r="AG223" s="52"/>
      <c r="AH223" s="52"/>
      <c r="AI223" s="52"/>
    </row>
    <row r="224" spans="1:35" ht="15.7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49"/>
      <c r="AB224" s="52"/>
      <c r="AC224" s="52"/>
      <c r="AD224" s="52"/>
      <c r="AE224" s="52"/>
      <c r="AF224" s="52"/>
      <c r="AG224" s="52"/>
      <c r="AH224" s="52"/>
      <c r="AI224" s="52"/>
    </row>
    <row r="225" spans="1:35" ht="15.7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49"/>
      <c r="AB225" s="52"/>
      <c r="AC225" s="52"/>
      <c r="AD225" s="52"/>
      <c r="AE225" s="52"/>
      <c r="AF225" s="52"/>
      <c r="AG225" s="52"/>
      <c r="AH225" s="52"/>
      <c r="AI225" s="52"/>
    </row>
    <row r="226" spans="1:35" ht="15.7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49"/>
      <c r="AB226" s="52"/>
      <c r="AC226" s="52"/>
      <c r="AD226" s="52"/>
      <c r="AE226" s="52"/>
      <c r="AF226" s="52"/>
      <c r="AG226" s="52"/>
      <c r="AH226" s="52"/>
      <c r="AI226" s="52"/>
    </row>
    <row r="227" spans="1:35" ht="15.7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49"/>
      <c r="AB227" s="52"/>
      <c r="AC227" s="52"/>
      <c r="AD227" s="52"/>
      <c r="AE227" s="52"/>
      <c r="AF227" s="52"/>
      <c r="AG227" s="52"/>
      <c r="AH227" s="52"/>
      <c r="AI227" s="52"/>
    </row>
    <row r="228" spans="1:35" ht="15.7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49"/>
      <c r="AB228" s="52"/>
      <c r="AC228" s="52"/>
      <c r="AD228" s="52"/>
      <c r="AE228" s="52"/>
      <c r="AF228" s="52"/>
      <c r="AG228" s="52"/>
      <c r="AH228" s="52"/>
      <c r="AI228" s="52"/>
    </row>
    <row r="229" spans="1:35" ht="15.7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49"/>
      <c r="AB229" s="52"/>
      <c r="AC229" s="52"/>
      <c r="AD229" s="52"/>
      <c r="AE229" s="52"/>
      <c r="AF229" s="52"/>
      <c r="AG229" s="52"/>
      <c r="AH229" s="52"/>
      <c r="AI229" s="52"/>
    </row>
    <row r="230" spans="1:35" ht="15.7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49"/>
      <c r="AB230" s="52"/>
      <c r="AC230" s="52"/>
      <c r="AD230" s="52"/>
      <c r="AE230" s="52"/>
      <c r="AF230" s="52"/>
      <c r="AG230" s="52"/>
      <c r="AH230" s="52"/>
      <c r="AI230" s="52"/>
    </row>
    <row r="231" spans="1:35" ht="15.7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49"/>
      <c r="AB231" s="52"/>
      <c r="AC231" s="52"/>
      <c r="AD231" s="52"/>
      <c r="AE231" s="52"/>
      <c r="AF231" s="52"/>
      <c r="AG231" s="52"/>
      <c r="AH231" s="52"/>
      <c r="AI231" s="52"/>
    </row>
    <row r="232" spans="1:35" ht="15.7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49"/>
      <c r="AB232" s="52"/>
      <c r="AC232" s="52"/>
      <c r="AD232" s="52"/>
      <c r="AE232" s="52"/>
      <c r="AF232" s="52"/>
      <c r="AG232" s="52"/>
      <c r="AH232" s="52"/>
      <c r="AI232" s="52"/>
    </row>
    <row r="233" spans="1:35" ht="15.7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49"/>
      <c r="AB233" s="52"/>
      <c r="AC233" s="52"/>
      <c r="AD233" s="52"/>
      <c r="AE233" s="52"/>
      <c r="AF233" s="52"/>
      <c r="AG233" s="52"/>
      <c r="AH233" s="52"/>
      <c r="AI233" s="52"/>
    </row>
    <row r="234" spans="1:35" ht="15.7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49"/>
      <c r="AB234" s="52"/>
      <c r="AC234" s="52"/>
      <c r="AD234" s="52"/>
      <c r="AE234" s="52"/>
      <c r="AF234" s="52"/>
      <c r="AG234" s="52"/>
      <c r="AH234" s="52"/>
      <c r="AI234" s="52"/>
    </row>
    <row r="235" spans="1:35" ht="15.7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49"/>
      <c r="AB235" s="52"/>
      <c r="AC235" s="52"/>
      <c r="AD235" s="52"/>
      <c r="AE235" s="52"/>
      <c r="AF235" s="52"/>
      <c r="AG235" s="52"/>
      <c r="AH235" s="52"/>
      <c r="AI235" s="52"/>
    </row>
    <row r="236" spans="1:35" ht="15.7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49"/>
      <c r="AB236" s="52"/>
      <c r="AC236" s="52"/>
      <c r="AD236" s="52"/>
      <c r="AE236" s="52"/>
      <c r="AF236" s="52"/>
      <c r="AG236" s="52"/>
      <c r="AH236" s="52"/>
      <c r="AI236" s="52"/>
    </row>
    <row r="237" spans="1:35" ht="15.7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49"/>
      <c r="AB237" s="52"/>
      <c r="AC237" s="52"/>
      <c r="AD237" s="52"/>
      <c r="AE237" s="52"/>
      <c r="AF237" s="52"/>
      <c r="AG237" s="52"/>
      <c r="AH237" s="52"/>
      <c r="AI237" s="52"/>
    </row>
    <row r="238" spans="1:35" ht="15.7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49"/>
      <c r="AB238" s="52"/>
      <c r="AC238" s="52"/>
      <c r="AD238" s="52"/>
      <c r="AE238" s="52"/>
      <c r="AF238" s="52"/>
      <c r="AG238" s="52"/>
      <c r="AH238" s="52"/>
      <c r="AI238" s="52"/>
    </row>
    <row r="239" spans="1:35" ht="15.7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49"/>
      <c r="AB239" s="52"/>
      <c r="AC239" s="52"/>
      <c r="AD239" s="52"/>
      <c r="AE239" s="52"/>
      <c r="AF239" s="52"/>
      <c r="AG239" s="52"/>
      <c r="AH239" s="52"/>
      <c r="AI239" s="52"/>
    </row>
    <row r="240" spans="1:35" ht="15.7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49"/>
      <c r="AB240" s="52"/>
      <c r="AC240" s="52"/>
      <c r="AD240" s="52"/>
      <c r="AE240" s="52"/>
      <c r="AF240" s="52"/>
      <c r="AG240" s="52"/>
      <c r="AH240" s="52"/>
      <c r="AI240" s="52"/>
    </row>
    <row r="241" spans="1:35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49"/>
      <c r="AB241" s="52"/>
      <c r="AC241" s="52"/>
      <c r="AD241" s="52"/>
      <c r="AE241" s="52"/>
      <c r="AF241" s="52"/>
      <c r="AG241" s="52"/>
      <c r="AH241" s="52"/>
      <c r="AI241" s="52"/>
    </row>
    <row r="242" spans="1:35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49"/>
      <c r="AB242" s="52"/>
      <c r="AC242" s="52"/>
      <c r="AD242" s="52"/>
      <c r="AE242" s="52"/>
      <c r="AF242" s="52"/>
      <c r="AG242" s="52"/>
      <c r="AH242" s="52"/>
      <c r="AI242" s="52"/>
    </row>
    <row r="243" spans="1:35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49"/>
      <c r="AB243" s="52"/>
      <c r="AC243" s="52"/>
      <c r="AD243" s="52"/>
      <c r="AE243" s="52"/>
      <c r="AF243" s="52"/>
      <c r="AG243" s="52"/>
      <c r="AH243" s="52"/>
      <c r="AI243" s="52"/>
    </row>
    <row r="244" spans="1:35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49"/>
      <c r="AB244" s="52"/>
      <c r="AC244" s="52"/>
      <c r="AD244" s="52"/>
      <c r="AE244" s="52"/>
      <c r="AF244" s="52"/>
      <c r="AG244" s="52"/>
      <c r="AH244" s="52"/>
      <c r="AI244" s="52"/>
    </row>
    <row r="245" spans="1:3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49"/>
      <c r="AB245" s="52"/>
      <c r="AC245" s="52"/>
      <c r="AD245" s="52"/>
      <c r="AE245" s="52"/>
      <c r="AF245" s="52"/>
      <c r="AG245" s="52"/>
      <c r="AH245" s="52"/>
      <c r="AI245" s="52"/>
    </row>
    <row r="246" spans="1:35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49"/>
      <c r="AB246" s="52"/>
      <c r="AC246" s="52"/>
      <c r="AD246" s="52"/>
      <c r="AE246" s="52"/>
      <c r="AF246" s="52"/>
      <c r="AG246" s="52"/>
      <c r="AH246" s="52"/>
      <c r="AI246" s="52"/>
    </row>
    <row r="247" spans="1:35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49"/>
      <c r="AB247" s="52"/>
      <c r="AC247" s="52"/>
      <c r="AD247" s="52"/>
      <c r="AE247" s="52"/>
      <c r="AF247" s="52"/>
      <c r="AG247" s="52"/>
      <c r="AH247" s="52"/>
      <c r="AI247" s="52"/>
    </row>
    <row r="248" spans="1:35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49"/>
      <c r="AB248" s="52"/>
      <c r="AC248" s="52"/>
      <c r="AD248" s="52"/>
      <c r="AE248" s="52"/>
      <c r="AF248" s="52"/>
      <c r="AG248" s="52"/>
      <c r="AH248" s="52"/>
      <c r="AI248" s="52"/>
    </row>
    <row r="249" spans="1:35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49"/>
      <c r="AB249" s="52"/>
      <c r="AC249" s="52"/>
      <c r="AD249" s="52"/>
      <c r="AE249" s="52"/>
      <c r="AF249" s="52"/>
      <c r="AG249" s="52"/>
      <c r="AH249" s="52"/>
      <c r="AI249" s="52"/>
    </row>
    <row r="250" spans="1:35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49"/>
      <c r="AB250" s="52"/>
      <c r="AC250" s="52"/>
      <c r="AD250" s="52"/>
      <c r="AE250" s="52"/>
      <c r="AF250" s="52"/>
      <c r="AG250" s="52"/>
      <c r="AH250" s="52"/>
      <c r="AI250" s="52"/>
    </row>
    <row r="251" spans="1:35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49"/>
      <c r="AB251" s="52"/>
      <c r="AC251" s="52"/>
      <c r="AD251" s="52"/>
      <c r="AE251" s="52"/>
      <c r="AF251" s="52"/>
      <c r="AG251" s="52"/>
      <c r="AH251" s="52"/>
      <c r="AI251" s="52"/>
    </row>
    <row r="252" spans="1:35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49"/>
      <c r="AB252" s="52"/>
      <c r="AC252" s="52"/>
      <c r="AD252" s="52"/>
      <c r="AE252" s="52"/>
      <c r="AF252" s="52"/>
      <c r="AG252" s="52"/>
      <c r="AH252" s="52"/>
      <c r="AI252" s="52"/>
    </row>
    <row r="253" spans="1:35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49"/>
      <c r="AB253" s="52"/>
      <c r="AC253" s="52"/>
      <c r="AD253" s="52"/>
      <c r="AE253" s="52"/>
      <c r="AF253" s="52"/>
      <c r="AG253" s="52"/>
      <c r="AH253" s="52"/>
      <c r="AI253" s="52"/>
    </row>
    <row r="254" spans="1:35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49"/>
      <c r="AB254" s="52"/>
      <c r="AC254" s="52"/>
      <c r="AD254" s="52"/>
      <c r="AE254" s="52"/>
      <c r="AF254" s="52"/>
      <c r="AG254" s="52"/>
      <c r="AH254" s="52"/>
      <c r="AI254" s="52"/>
    </row>
    <row r="255" spans="1:3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49"/>
      <c r="AB255" s="52"/>
      <c r="AC255" s="52"/>
      <c r="AD255" s="52"/>
      <c r="AE255" s="52"/>
      <c r="AF255" s="52"/>
      <c r="AG255" s="52"/>
      <c r="AH255" s="52"/>
      <c r="AI255" s="52"/>
    </row>
    <row r="256" spans="1:35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49"/>
      <c r="AB256" s="52"/>
      <c r="AC256" s="52"/>
      <c r="AD256" s="52"/>
      <c r="AE256" s="52"/>
      <c r="AF256" s="52"/>
      <c r="AG256" s="52"/>
      <c r="AH256" s="52"/>
      <c r="AI256" s="52"/>
    </row>
    <row r="257" spans="1:35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49"/>
      <c r="AB257" s="52"/>
      <c r="AC257" s="52"/>
      <c r="AD257" s="52"/>
      <c r="AE257" s="52"/>
      <c r="AF257" s="52"/>
      <c r="AG257" s="52"/>
      <c r="AH257" s="52"/>
      <c r="AI257" s="52"/>
    </row>
    <row r="258" spans="1:35" ht="15.7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49"/>
      <c r="AB258" s="52"/>
      <c r="AC258" s="52"/>
      <c r="AD258" s="52"/>
      <c r="AE258" s="52"/>
      <c r="AF258" s="52"/>
      <c r="AG258" s="52"/>
      <c r="AH258" s="52"/>
      <c r="AI258" s="52"/>
    </row>
    <row r="259" spans="1:35" ht="15.7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49"/>
      <c r="AB259" s="52"/>
      <c r="AC259" s="52"/>
      <c r="AD259" s="52"/>
      <c r="AE259" s="52"/>
      <c r="AF259" s="52"/>
      <c r="AG259" s="52"/>
      <c r="AH259" s="52"/>
      <c r="AI259" s="52"/>
    </row>
    <row r="260" spans="1:35" ht="15.7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49"/>
      <c r="AB260" s="52"/>
      <c r="AC260" s="52"/>
      <c r="AD260" s="52"/>
      <c r="AE260" s="52"/>
      <c r="AF260" s="52"/>
      <c r="AG260" s="52"/>
      <c r="AH260" s="52"/>
      <c r="AI260" s="52"/>
    </row>
    <row r="261" spans="1:35" ht="15.7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49"/>
      <c r="AB261" s="52"/>
      <c r="AC261" s="52"/>
      <c r="AD261" s="52"/>
      <c r="AE261" s="52"/>
      <c r="AF261" s="52"/>
      <c r="AG261" s="52"/>
      <c r="AH261" s="52"/>
      <c r="AI261" s="52"/>
    </row>
    <row r="262" spans="1:35" ht="15.7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49"/>
      <c r="AB262" s="52"/>
      <c r="AC262" s="52"/>
      <c r="AD262" s="52"/>
      <c r="AE262" s="52"/>
      <c r="AF262" s="52"/>
      <c r="AG262" s="52"/>
      <c r="AH262" s="52"/>
      <c r="AI262" s="52"/>
    </row>
    <row r="263" spans="1:35" ht="15.7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49"/>
      <c r="AB263" s="52"/>
      <c r="AC263" s="52"/>
      <c r="AD263" s="52"/>
      <c r="AE263" s="52"/>
      <c r="AF263" s="52"/>
      <c r="AG263" s="52"/>
      <c r="AH263" s="52"/>
      <c r="AI263" s="52"/>
    </row>
    <row r="264" spans="1:35" ht="15.7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49"/>
      <c r="AB264" s="52"/>
      <c r="AC264" s="52"/>
      <c r="AD264" s="52"/>
      <c r="AE264" s="52"/>
      <c r="AF264" s="52"/>
      <c r="AG264" s="52"/>
      <c r="AH264" s="52"/>
      <c r="AI264" s="52"/>
    </row>
    <row r="265" spans="1:35" ht="15.7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49"/>
      <c r="AB265" s="52"/>
      <c r="AC265" s="52"/>
      <c r="AD265" s="52"/>
      <c r="AE265" s="52"/>
      <c r="AF265" s="52"/>
      <c r="AG265" s="52"/>
      <c r="AH265" s="52"/>
      <c r="AI265" s="52"/>
    </row>
    <row r="266" spans="1:35" ht="15.7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49"/>
      <c r="AB266" s="52"/>
      <c r="AC266" s="52"/>
      <c r="AD266" s="52"/>
      <c r="AE266" s="52"/>
      <c r="AF266" s="52"/>
      <c r="AG266" s="52"/>
      <c r="AH266" s="52"/>
      <c r="AI266" s="52"/>
    </row>
    <row r="267" spans="1:35" ht="15.7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49"/>
      <c r="AB267" s="52"/>
      <c r="AC267" s="52"/>
      <c r="AD267" s="52"/>
      <c r="AE267" s="52"/>
      <c r="AF267" s="52"/>
      <c r="AG267" s="52"/>
      <c r="AH267" s="52"/>
      <c r="AI267" s="52"/>
    </row>
    <row r="268" spans="1:35" ht="15.7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49"/>
      <c r="AB268" s="52"/>
      <c r="AC268" s="52"/>
      <c r="AD268" s="52"/>
      <c r="AE268" s="52"/>
      <c r="AF268" s="52"/>
      <c r="AG268" s="52"/>
      <c r="AH268" s="52"/>
      <c r="AI268" s="52"/>
    </row>
    <row r="269" spans="1:35" ht="15.7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49"/>
      <c r="AB269" s="52"/>
      <c r="AC269" s="52"/>
      <c r="AD269" s="52"/>
      <c r="AE269" s="52"/>
      <c r="AF269" s="52"/>
      <c r="AG269" s="52"/>
      <c r="AH269" s="52"/>
      <c r="AI269" s="52"/>
    </row>
    <row r="270" spans="1:35" ht="15.7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49"/>
      <c r="AB270" s="52"/>
      <c r="AC270" s="52"/>
      <c r="AD270" s="52"/>
      <c r="AE270" s="52"/>
      <c r="AF270" s="52"/>
      <c r="AG270" s="52"/>
      <c r="AH270" s="52"/>
      <c r="AI270" s="52"/>
    </row>
    <row r="271" spans="1:35" ht="15.7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49"/>
      <c r="AB271" s="52"/>
      <c r="AC271" s="52"/>
      <c r="AD271" s="52"/>
      <c r="AE271" s="52"/>
      <c r="AF271" s="52"/>
      <c r="AG271" s="52"/>
      <c r="AH271" s="52"/>
      <c r="AI271" s="52"/>
    </row>
    <row r="272" spans="1:35" ht="15.7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49"/>
      <c r="AB272" s="52"/>
      <c r="AC272" s="52"/>
      <c r="AD272" s="52"/>
      <c r="AE272" s="52"/>
      <c r="AF272" s="52"/>
      <c r="AG272" s="52"/>
      <c r="AH272" s="52"/>
      <c r="AI272" s="52"/>
    </row>
    <row r="273" spans="1:35" ht="15.7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49"/>
      <c r="AB273" s="52"/>
      <c r="AC273" s="52"/>
      <c r="AD273" s="52"/>
      <c r="AE273" s="52"/>
      <c r="AF273" s="52"/>
      <c r="AG273" s="52"/>
      <c r="AH273" s="52"/>
      <c r="AI273" s="52"/>
    </row>
    <row r="274" spans="1:35" ht="15.7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49"/>
      <c r="AB274" s="52"/>
      <c r="AC274" s="52"/>
      <c r="AD274" s="52"/>
      <c r="AE274" s="52"/>
      <c r="AF274" s="52"/>
      <c r="AG274" s="52"/>
      <c r="AH274" s="52"/>
      <c r="AI274" s="52"/>
    </row>
    <row r="275" spans="1:35" ht="15.7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49"/>
      <c r="AB275" s="52"/>
      <c r="AC275" s="52"/>
      <c r="AD275" s="52"/>
      <c r="AE275" s="52"/>
      <c r="AF275" s="52"/>
      <c r="AG275" s="52"/>
      <c r="AH275" s="52"/>
      <c r="AI275" s="52"/>
    </row>
    <row r="276" spans="1:35" ht="15.7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49"/>
      <c r="AB276" s="52"/>
      <c r="AC276" s="52"/>
      <c r="AD276" s="52"/>
      <c r="AE276" s="52"/>
      <c r="AF276" s="52"/>
      <c r="AG276" s="52"/>
      <c r="AH276" s="52"/>
      <c r="AI276" s="52"/>
    </row>
    <row r="277" spans="1:35" ht="15.7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49"/>
      <c r="AB277" s="52"/>
      <c r="AC277" s="52"/>
      <c r="AD277" s="52"/>
      <c r="AE277" s="52"/>
      <c r="AF277" s="52"/>
      <c r="AG277" s="52"/>
      <c r="AH277" s="52"/>
      <c r="AI277" s="52"/>
    </row>
    <row r="278" spans="1:35" ht="15.7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49"/>
      <c r="AB278" s="52"/>
      <c r="AC278" s="52"/>
      <c r="AD278" s="52"/>
      <c r="AE278" s="52"/>
      <c r="AF278" s="52"/>
      <c r="AG278" s="52"/>
      <c r="AH278" s="52"/>
      <c r="AI278" s="52"/>
    </row>
    <row r="279" spans="1:35" ht="15.7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49"/>
      <c r="AB279" s="52"/>
      <c r="AC279" s="52"/>
      <c r="AD279" s="52"/>
      <c r="AE279" s="52"/>
      <c r="AF279" s="52"/>
      <c r="AG279" s="52"/>
      <c r="AH279" s="52"/>
      <c r="AI279" s="52"/>
    </row>
    <row r="280" spans="1:35" ht="15.7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49"/>
      <c r="AB280" s="52"/>
      <c r="AC280" s="52"/>
      <c r="AD280" s="52"/>
      <c r="AE280" s="52"/>
      <c r="AF280" s="52"/>
      <c r="AG280" s="52"/>
      <c r="AH280" s="52"/>
      <c r="AI280" s="52"/>
    </row>
    <row r="281" spans="1:35" ht="15.7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49"/>
      <c r="AB281" s="52"/>
      <c r="AC281" s="52"/>
      <c r="AD281" s="52"/>
      <c r="AE281" s="52"/>
      <c r="AF281" s="52"/>
      <c r="AG281" s="52"/>
      <c r="AH281" s="52"/>
      <c r="AI281" s="52"/>
    </row>
    <row r="282" spans="1:35" ht="15.7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49"/>
      <c r="AB282" s="52"/>
      <c r="AC282" s="52"/>
      <c r="AD282" s="52"/>
      <c r="AE282" s="52"/>
      <c r="AF282" s="52"/>
      <c r="AG282" s="52"/>
      <c r="AH282" s="52"/>
      <c r="AI282" s="52"/>
    </row>
    <row r="283" spans="1:35" ht="15.7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49"/>
      <c r="AB283" s="52"/>
      <c r="AC283" s="52"/>
      <c r="AD283" s="52"/>
      <c r="AE283" s="52"/>
      <c r="AF283" s="52"/>
      <c r="AG283" s="52"/>
      <c r="AH283" s="52"/>
      <c r="AI283" s="52"/>
    </row>
    <row r="284" spans="1:35" ht="15.7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49"/>
      <c r="AB284" s="52"/>
      <c r="AC284" s="52"/>
      <c r="AD284" s="52"/>
      <c r="AE284" s="52"/>
      <c r="AF284" s="52"/>
      <c r="AG284" s="52"/>
      <c r="AH284" s="52"/>
      <c r="AI284" s="52"/>
    </row>
    <row r="285" spans="1:35" ht="15.7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49"/>
      <c r="AB285" s="52"/>
      <c r="AC285" s="52"/>
      <c r="AD285" s="52"/>
      <c r="AE285" s="52"/>
      <c r="AF285" s="52"/>
      <c r="AG285" s="52"/>
      <c r="AH285" s="52"/>
      <c r="AI285" s="52"/>
    </row>
    <row r="286" spans="1:35" ht="15.7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49"/>
      <c r="AB286" s="52"/>
      <c r="AC286" s="52"/>
      <c r="AD286" s="52"/>
      <c r="AE286" s="52"/>
      <c r="AF286" s="52"/>
      <c r="AG286" s="52"/>
      <c r="AH286" s="52"/>
      <c r="AI286" s="52"/>
    </row>
    <row r="287" spans="1:35" ht="15.7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49"/>
      <c r="AB287" s="52"/>
      <c r="AC287" s="52"/>
      <c r="AD287" s="52"/>
      <c r="AE287" s="52"/>
      <c r="AF287" s="52"/>
      <c r="AG287" s="52"/>
      <c r="AH287" s="52"/>
      <c r="AI287" s="52"/>
    </row>
    <row r="288" spans="1:35" ht="15.7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49"/>
      <c r="AB288" s="52"/>
      <c r="AC288" s="52"/>
      <c r="AD288" s="52"/>
      <c r="AE288" s="52"/>
      <c r="AF288" s="52"/>
      <c r="AG288" s="52"/>
      <c r="AH288" s="52"/>
      <c r="AI288" s="52"/>
    </row>
    <row r="289" spans="1:35" ht="15.7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49"/>
      <c r="AB289" s="52"/>
      <c r="AC289" s="52"/>
      <c r="AD289" s="52"/>
      <c r="AE289" s="52"/>
      <c r="AF289" s="52"/>
      <c r="AG289" s="52"/>
      <c r="AH289" s="52"/>
      <c r="AI289" s="52"/>
    </row>
    <row r="290" spans="1:35" ht="15.7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49"/>
      <c r="AB290" s="52"/>
      <c r="AC290" s="52"/>
      <c r="AD290" s="52"/>
      <c r="AE290" s="52"/>
      <c r="AF290" s="52"/>
      <c r="AG290" s="52"/>
      <c r="AH290" s="52"/>
      <c r="AI290" s="52"/>
    </row>
    <row r="291" spans="1:35" ht="15.7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49"/>
      <c r="AB291" s="52"/>
      <c r="AC291" s="52"/>
      <c r="AD291" s="52"/>
      <c r="AE291" s="52"/>
      <c r="AF291" s="52"/>
      <c r="AG291" s="52"/>
      <c r="AH291" s="52"/>
      <c r="AI291" s="52"/>
    </row>
    <row r="292" spans="1:35" ht="15.7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49"/>
      <c r="AB292" s="52"/>
      <c r="AC292" s="52"/>
      <c r="AD292" s="52"/>
      <c r="AE292" s="52"/>
      <c r="AF292" s="52"/>
      <c r="AG292" s="52"/>
      <c r="AH292" s="52"/>
      <c r="AI292" s="52"/>
    </row>
    <row r="293" spans="1:35" ht="15.7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49"/>
      <c r="AB293" s="52"/>
      <c r="AC293" s="52"/>
      <c r="AD293" s="52"/>
      <c r="AE293" s="52"/>
      <c r="AF293" s="52"/>
      <c r="AG293" s="52"/>
      <c r="AH293" s="52"/>
      <c r="AI293" s="52"/>
    </row>
    <row r="294" spans="1:35" ht="15.7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49"/>
      <c r="AB294" s="52"/>
      <c r="AC294" s="52"/>
      <c r="AD294" s="52"/>
      <c r="AE294" s="52"/>
      <c r="AF294" s="52"/>
      <c r="AG294" s="52"/>
      <c r="AH294" s="52"/>
      <c r="AI294" s="52"/>
    </row>
    <row r="295" spans="1:35" ht="15.7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49"/>
      <c r="AB295" s="52"/>
      <c r="AC295" s="52"/>
      <c r="AD295" s="52"/>
      <c r="AE295" s="52"/>
      <c r="AF295" s="52"/>
      <c r="AG295" s="52"/>
      <c r="AH295" s="52"/>
      <c r="AI295" s="52"/>
    </row>
    <row r="296" spans="1:35" ht="15.7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49"/>
      <c r="AB296" s="52"/>
      <c r="AC296" s="52"/>
      <c r="AD296" s="52"/>
      <c r="AE296" s="52"/>
      <c r="AF296" s="52"/>
      <c r="AG296" s="52"/>
      <c r="AH296" s="52"/>
      <c r="AI296" s="52"/>
    </row>
    <row r="297" spans="1:35" ht="15.7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49"/>
      <c r="AB297" s="52"/>
      <c r="AC297" s="52"/>
      <c r="AD297" s="52"/>
      <c r="AE297" s="52"/>
      <c r="AF297" s="52"/>
      <c r="AG297" s="52"/>
      <c r="AH297" s="52"/>
      <c r="AI297" s="52"/>
    </row>
    <row r="298" spans="1:35" ht="15.7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49"/>
      <c r="AB298" s="52"/>
      <c r="AC298" s="52"/>
      <c r="AD298" s="52"/>
      <c r="AE298" s="52"/>
      <c r="AF298" s="52"/>
      <c r="AG298" s="52"/>
      <c r="AH298" s="52"/>
      <c r="AI298" s="52"/>
    </row>
    <row r="299" spans="1:35" ht="15.7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49"/>
      <c r="AB299" s="52"/>
      <c r="AC299" s="52"/>
      <c r="AD299" s="52"/>
      <c r="AE299" s="52"/>
      <c r="AF299" s="52"/>
      <c r="AG299" s="52"/>
      <c r="AH299" s="52"/>
      <c r="AI299" s="52"/>
    </row>
    <row r="300" spans="1:35" ht="15.7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49"/>
      <c r="AB300" s="52"/>
      <c r="AC300" s="52"/>
      <c r="AD300" s="52"/>
      <c r="AE300" s="52"/>
      <c r="AF300" s="52"/>
      <c r="AG300" s="52"/>
      <c r="AH300" s="52"/>
      <c r="AI300" s="52"/>
    </row>
    <row r="301" spans="1:35" ht="15.7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49"/>
      <c r="AB301" s="52"/>
      <c r="AC301" s="52"/>
      <c r="AD301" s="52"/>
      <c r="AE301" s="52"/>
      <c r="AF301" s="52"/>
      <c r="AG301" s="52"/>
      <c r="AH301" s="52"/>
      <c r="AI301" s="52"/>
    </row>
    <row r="302" spans="1:35" ht="15.7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49"/>
      <c r="AB302" s="52"/>
      <c r="AC302" s="52"/>
      <c r="AD302" s="52"/>
      <c r="AE302" s="52"/>
      <c r="AF302" s="52"/>
      <c r="AG302" s="52"/>
      <c r="AH302" s="52"/>
      <c r="AI302" s="52"/>
    </row>
    <row r="303" spans="1:35" ht="15.7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49"/>
      <c r="AB303" s="52"/>
      <c r="AC303" s="52"/>
      <c r="AD303" s="52"/>
      <c r="AE303" s="52"/>
      <c r="AF303" s="52"/>
      <c r="AG303" s="52"/>
      <c r="AH303" s="52"/>
      <c r="AI303" s="52"/>
    </row>
    <row r="304" spans="1:35" ht="15.7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49"/>
      <c r="AB304" s="52"/>
      <c r="AC304" s="52"/>
      <c r="AD304" s="52"/>
      <c r="AE304" s="52"/>
      <c r="AF304" s="52"/>
      <c r="AG304" s="52"/>
      <c r="AH304" s="52"/>
      <c r="AI304" s="52"/>
    </row>
    <row r="305" spans="1:35" ht="15.7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49"/>
      <c r="AB305" s="52"/>
      <c r="AC305" s="52"/>
      <c r="AD305" s="52"/>
      <c r="AE305" s="52"/>
      <c r="AF305" s="52"/>
      <c r="AG305" s="52"/>
      <c r="AH305" s="52"/>
      <c r="AI305" s="52"/>
    </row>
    <row r="306" spans="1:35" ht="15.7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49"/>
      <c r="AB306" s="52"/>
      <c r="AC306" s="52"/>
      <c r="AD306" s="52"/>
      <c r="AE306" s="52"/>
      <c r="AF306" s="52"/>
      <c r="AG306" s="52"/>
      <c r="AH306" s="52"/>
      <c r="AI306" s="52"/>
    </row>
    <row r="307" spans="1:35" ht="15.7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49"/>
      <c r="AB307" s="52"/>
      <c r="AC307" s="52"/>
      <c r="AD307" s="52"/>
      <c r="AE307" s="52"/>
      <c r="AF307" s="52"/>
      <c r="AG307" s="52"/>
      <c r="AH307" s="52"/>
      <c r="AI307" s="52"/>
    </row>
    <row r="308" spans="1:35" ht="15.7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49"/>
      <c r="AB308" s="52"/>
      <c r="AC308" s="52"/>
      <c r="AD308" s="52"/>
      <c r="AE308" s="52"/>
      <c r="AF308" s="52"/>
      <c r="AG308" s="52"/>
      <c r="AH308" s="52"/>
      <c r="AI308" s="52"/>
    </row>
    <row r="309" spans="1:35" ht="15.7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49"/>
      <c r="AB309" s="52"/>
      <c r="AC309" s="52"/>
      <c r="AD309" s="52"/>
      <c r="AE309" s="52"/>
      <c r="AF309" s="52"/>
      <c r="AG309" s="52"/>
      <c r="AH309" s="52"/>
      <c r="AI309" s="52"/>
    </row>
    <row r="310" spans="1:35" ht="15.7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49"/>
      <c r="AB310" s="52"/>
      <c r="AC310" s="52"/>
      <c r="AD310" s="52"/>
      <c r="AE310" s="52"/>
      <c r="AF310" s="52"/>
      <c r="AG310" s="52"/>
      <c r="AH310" s="52"/>
      <c r="AI310" s="52"/>
    </row>
    <row r="311" spans="1:35" ht="15.7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49"/>
      <c r="AB311" s="52"/>
      <c r="AC311" s="52"/>
      <c r="AD311" s="52"/>
      <c r="AE311" s="52"/>
      <c r="AF311" s="52"/>
      <c r="AG311" s="52"/>
      <c r="AH311" s="52"/>
      <c r="AI311" s="52"/>
    </row>
    <row r="312" spans="1:35" ht="15.7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49"/>
      <c r="AB312" s="52"/>
      <c r="AC312" s="52"/>
      <c r="AD312" s="52"/>
      <c r="AE312" s="52"/>
      <c r="AF312" s="52"/>
      <c r="AG312" s="52"/>
      <c r="AH312" s="52"/>
      <c r="AI312" s="52"/>
    </row>
    <row r="313" spans="1:35" ht="15.7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49"/>
      <c r="AB313" s="52"/>
      <c r="AC313" s="52"/>
      <c r="AD313" s="52"/>
      <c r="AE313" s="52"/>
      <c r="AF313" s="52"/>
      <c r="AG313" s="52"/>
      <c r="AH313" s="52"/>
      <c r="AI313" s="52"/>
    </row>
    <row r="314" spans="1:35" ht="15.7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49"/>
      <c r="AB314" s="52"/>
      <c r="AC314" s="52"/>
      <c r="AD314" s="52"/>
      <c r="AE314" s="52"/>
      <c r="AF314" s="52"/>
      <c r="AG314" s="52"/>
      <c r="AH314" s="52"/>
      <c r="AI314" s="52"/>
    </row>
    <row r="315" spans="1:35" ht="15.7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49"/>
      <c r="AB315" s="52"/>
      <c r="AC315" s="52"/>
      <c r="AD315" s="52"/>
      <c r="AE315" s="52"/>
      <c r="AF315" s="52"/>
      <c r="AG315" s="52"/>
      <c r="AH315" s="52"/>
      <c r="AI315" s="52"/>
    </row>
    <row r="316" spans="1:35" ht="15.7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49"/>
      <c r="AB316" s="52"/>
      <c r="AC316" s="52"/>
      <c r="AD316" s="52"/>
      <c r="AE316" s="52"/>
      <c r="AF316" s="52"/>
      <c r="AG316" s="52"/>
      <c r="AH316" s="52"/>
      <c r="AI316" s="52"/>
    </row>
    <row r="317" spans="1:35" ht="15.7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49"/>
      <c r="AB317" s="52"/>
      <c r="AC317" s="52"/>
      <c r="AD317" s="52"/>
      <c r="AE317" s="52"/>
      <c r="AF317" s="52"/>
      <c r="AG317" s="52"/>
      <c r="AH317" s="52"/>
      <c r="AI317" s="52"/>
    </row>
    <row r="318" spans="1:35" ht="15.7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49"/>
      <c r="AB318" s="52"/>
      <c r="AC318" s="52"/>
      <c r="AD318" s="52"/>
      <c r="AE318" s="52"/>
      <c r="AF318" s="52"/>
      <c r="AG318" s="52"/>
      <c r="AH318" s="52"/>
      <c r="AI318" s="52"/>
    </row>
    <row r="319" spans="1:35" ht="15.7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49"/>
      <c r="AB319" s="52"/>
      <c r="AC319" s="52"/>
      <c r="AD319" s="52"/>
      <c r="AE319" s="52"/>
      <c r="AF319" s="52"/>
      <c r="AG319" s="52"/>
      <c r="AH319" s="52"/>
      <c r="AI319" s="52"/>
    </row>
    <row r="320" spans="1:35" ht="15.7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49"/>
      <c r="AB320" s="52"/>
      <c r="AC320" s="52"/>
      <c r="AD320" s="52"/>
      <c r="AE320" s="52"/>
      <c r="AF320" s="52"/>
      <c r="AG320" s="52"/>
      <c r="AH320" s="52"/>
      <c r="AI320" s="52"/>
    </row>
    <row r="321" spans="1:35" ht="15.7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49"/>
      <c r="AB321" s="52"/>
      <c r="AC321" s="52"/>
      <c r="AD321" s="52"/>
      <c r="AE321" s="52"/>
      <c r="AF321" s="52"/>
      <c r="AG321" s="52"/>
      <c r="AH321" s="52"/>
      <c r="AI321" s="52"/>
    </row>
    <row r="322" spans="1:35" ht="15.7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49"/>
      <c r="AB322" s="52"/>
      <c r="AC322" s="52"/>
      <c r="AD322" s="52"/>
      <c r="AE322" s="52"/>
      <c r="AF322" s="52"/>
      <c r="AG322" s="52"/>
      <c r="AH322" s="52"/>
      <c r="AI322" s="52"/>
    </row>
    <row r="323" spans="1:35" ht="15.7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49"/>
      <c r="AB323" s="52"/>
      <c r="AC323" s="52"/>
      <c r="AD323" s="52"/>
      <c r="AE323" s="52"/>
      <c r="AF323" s="52"/>
      <c r="AG323" s="52"/>
      <c r="AH323" s="52"/>
      <c r="AI323" s="52"/>
    </row>
    <row r="324" spans="1:35" ht="15.7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49"/>
      <c r="AB324" s="52"/>
      <c r="AC324" s="52"/>
      <c r="AD324" s="52"/>
      <c r="AE324" s="52"/>
      <c r="AF324" s="52"/>
      <c r="AG324" s="52"/>
      <c r="AH324" s="52"/>
      <c r="AI324" s="52"/>
    </row>
    <row r="325" spans="1:35" ht="15.7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49"/>
      <c r="AB325" s="52"/>
      <c r="AC325" s="52"/>
      <c r="AD325" s="52"/>
      <c r="AE325" s="52"/>
      <c r="AF325" s="52"/>
      <c r="AG325" s="52"/>
      <c r="AH325" s="52"/>
      <c r="AI325" s="52"/>
    </row>
    <row r="326" spans="1:35" ht="15.7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49"/>
      <c r="AB326" s="52"/>
      <c r="AC326" s="52"/>
      <c r="AD326" s="52"/>
      <c r="AE326" s="52"/>
      <c r="AF326" s="52"/>
      <c r="AG326" s="52"/>
      <c r="AH326" s="52"/>
      <c r="AI326" s="52"/>
    </row>
    <row r="327" spans="1:35" ht="15.7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49"/>
      <c r="AB327" s="52"/>
      <c r="AC327" s="52"/>
      <c r="AD327" s="52"/>
      <c r="AE327" s="52"/>
      <c r="AF327" s="52"/>
      <c r="AG327" s="52"/>
      <c r="AH327" s="52"/>
      <c r="AI327" s="52"/>
    </row>
    <row r="328" spans="1:35" ht="15.7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49"/>
      <c r="AB328" s="52"/>
      <c r="AC328" s="52"/>
      <c r="AD328" s="52"/>
      <c r="AE328" s="52"/>
      <c r="AF328" s="52"/>
      <c r="AG328" s="52"/>
      <c r="AH328" s="52"/>
      <c r="AI328" s="52"/>
    </row>
    <row r="329" spans="1:35" ht="15.7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49"/>
      <c r="AB329" s="52"/>
      <c r="AC329" s="52"/>
      <c r="AD329" s="52"/>
      <c r="AE329" s="52"/>
      <c r="AF329" s="52"/>
      <c r="AG329" s="52"/>
      <c r="AH329" s="52"/>
      <c r="AI329" s="52"/>
    </row>
    <row r="330" spans="1:35" ht="15.7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49"/>
      <c r="AB330" s="52"/>
      <c r="AC330" s="52"/>
      <c r="AD330" s="52"/>
      <c r="AE330" s="52"/>
      <c r="AF330" s="52"/>
      <c r="AG330" s="52"/>
      <c r="AH330" s="52"/>
      <c r="AI330" s="52"/>
    </row>
    <row r="331" spans="1:35" ht="15.7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49"/>
      <c r="AB331" s="52"/>
      <c r="AC331" s="52"/>
      <c r="AD331" s="52"/>
      <c r="AE331" s="52"/>
      <c r="AF331" s="52"/>
      <c r="AG331" s="52"/>
      <c r="AH331" s="52"/>
      <c r="AI331" s="52"/>
    </row>
    <row r="332" spans="1:35" ht="15.7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49"/>
      <c r="AB332" s="52"/>
      <c r="AC332" s="52"/>
      <c r="AD332" s="52"/>
      <c r="AE332" s="52"/>
      <c r="AF332" s="52"/>
      <c r="AG332" s="52"/>
      <c r="AH332" s="52"/>
      <c r="AI332" s="52"/>
    </row>
    <row r="333" spans="1:35" ht="15.7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49"/>
      <c r="AB333" s="52"/>
      <c r="AC333" s="52"/>
      <c r="AD333" s="52"/>
      <c r="AE333" s="52"/>
      <c r="AF333" s="52"/>
      <c r="AG333" s="52"/>
      <c r="AH333" s="52"/>
      <c r="AI333" s="52"/>
    </row>
    <row r="334" spans="1:35" ht="15.7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49"/>
      <c r="AB334" s="52"/>
      <c r="AC334" s="52"/>
      <c r="AD334" s="52"/>
      <c r="AE334" s="52"/>
      <c r="AF334" s="52"/>
      <c r="AG334" s="52"/>
      <c r="AH334" s="52"/>
      <c r="AI334" s="52"/>
    </row>
    <row r="335" spans="1:35" ht="15.7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49"/>
      <c r="AB335" s="52"/>
      <c r="AC335" s="52"/>
      <c r="AD335" s="52"/>
      <c r="AE335" s="52"/>
      <c r="AF335" s="52"/>
      <c r="AG335" s="52"/>
      <c r="AH335" s="52"/>
      <c r="AI335" s="52"/>
    </row>
    <row r="336" spans="1:35" ht="15.7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49"/>
      <c r="AB336" s="52"/>
      <c r="AC336" s="52"/>
      <c r="AD336" s="52"/>
      <c r="AE336" s="52"/>
      <c r="AF336" s="52"/>
      <c r="AG336" s="52"/>
      <c r="AH336" s="52"/>
      <c r="AI336" s="52"/>
    </row>
    <row r="337" spans="1:35" ht="15.7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49"/>
      <c r="AB337" s="52"/>
      <c r="AC337" s="52"/>
      <c r="AD337" s="52"/>
      <c r="AE337" s="52"/>
      <c r="AF337" s="52"/>
      <c r="AG337" s="52"/>
      <c r="AH337" s="52"/>
      <c r="AI337" s="52"/>
    </row>
    <row r="338" spans="1:35" ht="15.7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49"/>
      <c r="AB338" s="52"/>
      <c r="AC338" s="52"/>
      <c r="AD338" s="52"/>
      <c r="AE338" s="52"/>
      <c r="AF338" s="52"/>
      <c r="AG338" s="52"/>
      <c r="AH338" s="52"/>
      <c r="AI338" s="52"/>
    </row>
    <row r="339" spans="1:35" ht="15.7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49"/>
      <c r="AB339" s="52"/>
      <c r="AC339" s="52"/>
      <c r="AD339" s="52"/>
      <c r="AE339" s="52"/>
      <c r="AF339" s="52"/>
      <c r="AG339" s="52"/>
      <c r="AH339" s="52"/>
      <c r="AI339" s="52"/>
    </row>
    <row r="340" spans="1:35" ht="15.7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49"/>
      <c r="AB340" s="52"/>
      <c r="AC340" s="52"/>
      <c r="AD340" s="52"/>
      <c r="AE340" s="52"/>
      <c r="AF340" s="52"/>
      <c r="AG340" s="52"/>
      <c r="AH340" s="52"/>
      <c r="AI340" s="52"/>
    </row>
    <row r="341" spans="1:35" ht="15.7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49"/>
      <c r="AB341" s="52"/>
      <c r="AC341" s="52"/>
      <c r="AD341" s="52"/>
      <c r="AE341" s="52"/>
      <c r="AF341" s="52"/>
      <c r="AG341" s="52"/>
      <c r="AH341" s="52"/>
      <c r="AI341" s="52"/>
    </row>
    <row r="342" spans="1:35" ht="15.7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49"/>
      <c r="AB342" s="52"/>
      <c r="AC342" s="52"/>
      <c r="AD342" s="52"/>
      <c r="AE342" s="52"/>
      <c r="AF342" s="52"/>
      <c r="AG342" s="52"/>
      <c r="AH342" s="52"/>
      <c r="AI342" s="52"/>
    </row>
    <row r="343" spans="1:35" ht="15.7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49"/>
      <c r="AB343" s="52"/>
      <c r="AC343" s="52"/>
      <c r="AD343" s="52"/>
      <c r="AE343" s="52"/>
      <c r="AF343" s="52"/>
      <c r="AG343" s="52"/>
      <c r="AH343" s="52"/>
      <c r="AI343" s="52"/>
    </row>
    <row r="344" spans="1:35" ht="15.7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49"/>
      <c r="AB344" s="52"/>
      <c r="AC344" s="52"/>
      <c r="AD344" s="52"/>
      <c r="AE344" s="52"/>
      <c r="AF344" s="52"/>
      <c r="AG344" s="52"/>
      <c r="AH344" s="52"/>
      <c r="AI344" s="52"/>
    </row>
    <row r="345" spans="1:35" ht="15.7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49"/>
      <c r="AB345" s="52"/>
      <c r="AC345" s="52"/>
      <c r="AD345" s="52"/>
      <c r="AE345" s="52"/>
      <c r="AF345" s="52"/>
      <c r="AG345" s="52"/>
      <c r="AH345" s="52"/>
      <c r="AI345" s="52"/>
    </row>
    <row r="346" spans="1:35" ht="15.7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49"/>
      <c r="AB346" s="52"/>
      <c r="AC346" s="52"/>
      <c r="AD346" s="52"/>
      <c r="AE346" s="52"/>
      <c r="AF346" s="52"/>
      <c r="AG346" s="52"/>
      <c r="AH346" s="52"/>
      <c r="AI346" s="52"/>
    </row>
    <row r="347" spans="1:35" ht="15.7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49"/>
      <c r="AB347" s="52"/>
      <c r="AC347" s="52"/>
      <c r="AD347" s="52"/>
      <c r="AE347" s="52"/>
      <c r="AF347" s="52"/>
      <c r="AG347" s="52"/>
      <c r="AH347" s="52"/>
      <c r="AI347" s="52"/>
    </row>
    <row r="348" spans="1:35" ht="15.7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49"/>
      <c r="AB348" s="52"/>
      <c r="AC348" s="52"/>
      <c r="AD348" s="52"/>
      <c r="AE348" s="52"/>
      <c r="AF348" s="52"/>
      <c r="AG348" s="52"/>
      <c r="AH348" s="52"/>
      <c r="AI348" s="52"/>
    </row>
    <row r="349" spans="1:35" ht="15.7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49"/>
      <c r="AB349" s="52"/>
      <c r="AC349" s="52"/>
      <c r="AD349" s="52"/>
      <c r="AE349" s="52"/>
      <c r="AF349" s="52"/>
      <c r="AG349" s="52"/>
      <c r="AH349" s="52"/>
      <c r="AI349" s="52"/>
    </row>
    <row r="350" spans="1:35" ht="15.7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49"/>
      <c r="AB350" s="52"/>
      <c r="AC350" s="52"/>
      <c r="AD350" s="52"/>
      <c r="AE350" s="52"/>
      <c r="AF350" s="52"/>
      <c r="AG350" s="52"/>
      <c r="AH350" s="52"/>
      <c r="AI350" s="52"/>
    </row>
    <row r="351" spans="1:35" ht="15.7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49"/>
      <c r="AB351" s="52"/>
      <c r="AC351" s="52"/>
      <c r="AD351" s="52"/>
      <c r="AE351" s="52"/>
      <c r="AF351" s="52"/>
      <c r="AG351" s="52"/>
      <c r="AH351" s="52"/>
      <c r="AI351" s="52"/>
    </row>
    <row r="352" spans="1:35" ht="15.7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49"/>
      <c r="AB352" s="52"/>
      <c r="AC352" s="52"/>
      <c r="AD352" s="52"/>
      <c r="AE352" s="52"/>
      <c r="AF352" s="52"/>
      <c r="AG352" s="52"/>
      <c r="AH352" s="52"/>
      <c r="AI352" s="52"/>
    </row>
    <row r="353" spans="1:35" ht="15.7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49"/>
      <c r="AB353" s="52"/>
      <c r="AC353" s="52"/>
      <c r="AD353" s="52"/>
      <c r="AE353" s="52"/>
      <c r="AF353" s="52"/>
      <c r="AG353" s="52"/>
      <c r="AH353" s="52"/>
      <c r="AI353" s="52"/>
    </row>
    <row r="354" spans="1:35" ht="15.7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49"/>
      <c r="AB354" s="52"/>
      <c r="AC354" s="52"/>
      <c r="AD354" s="52"/>
      <c r="AE354" s="52"/>
      <c r="AF354" s="52"/>
      <c r="AG354" s="52"/>
      <c r="AH354" s="52"/>
      <c r="AI354" s="52"/>
    </row>
    <row r="355" spans="1:35" ht="15.7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49"/>
      <c r="AB355" s="52"/>
      <c r="AC355" s="52"/>
      <c r="AD355" s="52"/>
      <c r="AE355" s="52"/>
      <c r="AF355" s="52"/>
      <c r="AG355" s="52"/>
      <c r="AH355" s="52"/>
      <c r="AI355" s="52"/>
    </row>
    <row r="356" spans="1:35" ht="15.7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49"/>
      <c r="AB356" s="52"/>
      <c r="AC356" s="52"/>
      <c r="AD356" s="52"/>
      <c r="AE356" s="52"/>
      <c r="AF356" s="52"/>
      <c r="AG356" s="52"/>
      <c r="AH356" s="52"/>
      <c r="AI356" s="52"/>
    </row>
    <row r="357" spans="1:35" ht="15.7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49"/>
      <c r="AB357" s="52"/>
      <c r="AC357" s="52"/>
      <c r="AD357" s="52"/>
      <c r="AE357" s="52"/>
      <c r="AF357" s="52"/>
      <c r="AG357" s="52"/>
      <c r="AH357" s="52"/>
      <c r="AI357" s="52"/>
    </row>
    <row r="358" spans="1:35" ht="15.7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49"/>
      <c r="AB358" s="52"/>
      <c r="AC358" s="52"/>
      <c r="AD358" s="52"/>
      <c r="AE358" s="52"/>
      <c r="AF358" s="52"/>
      <c r="AG358" s="52"/>
      <c r="AH358" s="52"/>
      <c r="AI358" s="52"/>
    </row>
    <row r="359" spans="1:35" ht="15.7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49"/>
      <c r="AB359" s="52"/>
      <c r="AC359" s="52"/>
      <c r="AD359" s="52"/>
      <c r="AE359" s="52"/>
      <c r="AF359" s="52"/>
      <c r="AG359" s="52"/>
      <c r="AH359" s="52"/>
      <c r="AI359" s="52"/>
    </row>
    <row r="360" spans="1:35" ht="15.7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49"/>
      <c r="AB360" s="52"/>
      <c r="AC360" s="52"/>
      <c r="AD360" s="52"/>
      <c r="AE360" s="52"/>
      <c r="AF360" s="52"/>
      <c r="AG360" s="52"/>
      <c r="AH360" s="52"/>
      <c r="AI360" s="52"/>
    </row>
    <row r="361" spans="1:35" ht="15.7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49"/>
      <c r="AB361" s="52"/>
      <c r="AC361" s="52"/>
      <c r="AD361" s="52"/>
      <c r="AE361" s="52"/>
      <c r="AF361" s="52"/>
      <c r="AG361" s="52"/>
      <c r="AH361" s="52"/>
      <c r="AI361" s="52"/>
    </row>
    <row r="362" spans="1:35" ht="15.7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49"/>
      <c r="AB362" s="52"/>
      <c r="AC362" s="52"/>
      <c r="AD362" s="52"/>
      <c r="AE362" s="52"/>
      <c r="AF362" s="52"/>
      <c r="AG362" s="52"/>
      <c r="AH362" s="52"/>
      <c r="AI362" s="52"/>
    </row>
    <row r="363" spans="1:35" ht="15.7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49"/>
      <c r="AB363" s="52"/>
      <c r="AC363" s="52"/>
      <c r="AD363" s="52"/>
      <c r="AE363" s="52"/>
      <c r="AF363" s="52"/>
      <c r="AG363" s="52"/>
      <c r="AH363" s="52"/>
      <c r="AI363" s="52"/>
    </row>
    <row r="364" spans="1:35" ht="15.7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49"/>
      <c r="AB364" s="52"/>
      <c r="AC364" s="52"/>
      <c r="AD364" s="52"/>
      <c r="AE364" s="52"/>
      <c r="AF364" s="52"/>
      <c r="AG364" s="52"/>
      <c r="AH364" s="52"/>
      <c r="AI364" s="52"/>
    </row>
    <row r="365" spans="1:35" ht="15.7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49"/>
      <c r="AB365" s="52"/>
      <c r="AC365" s="52"/>
      <c r="AD365" s="52"/>
      <c r="AE365" s="52"/>
      <c r="AF365" s="52"/>
      <c r="AG365" s="52"/>
      <c r="AH365" s="52"/>
      <c r="AI365" s="52"/>
    </row>
    <row r="366" spans="1:35" ht="15.7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49"/>
      <c r="AB366" s="52"/>
      <c r="AC366" s="52"/>
      <c r="AD366" s="52"/>
      <c r="AE366" s="52"/>
      <c r="AF366" s="52"/>
      <c r="AG366" s="52"/>
      <c r="AH366" s="52"/>
      <c r="AI366" s="52"/>
    </row>
    <row r="367" spans="1:35" ht="15.7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49"/>
      <c r="AB367" s="52"/>
      <c r="AC367" s="52"/>
      <c r="AD367" s="52"/>
      <c r="AE367" s="52"/>
      <c r="AF367" s="52"/>
      <c r="AG367" s="52"/>
      <c r="AH367" s="52"/>
      <c r="AI367" s="52"/>
    </row>
    <row r="368" spans="1:35" ht="15.7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49"/>
      <c r="AB368" s="52"/>
      <c r="AC368" s="52"/>
      <c r="AD368" s="52"/>
      <c r="AE368" s="52"/>
      <c r="AF368" s="52"/>
      <c r="AG368" s="52"/>
      <c r="AH368" s="52"/>
      <c r="AI368" s="52"/>
    </row>
    <row r="369" spans="1:35" ht="15.7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49"/>
      <c r="AB369" s="52"/>
      <c r="AC369" s="52"/>
      <c r="AD369" s="52"/>
      <c r="AE369" s="52"/>
      <c r="AF369" s="52"/>
      <c r="AG369" s="52"/>
      <c r="AH369" s="52"/>
      <c r="AI369" s="52"/>
    </row>
    <row r="370" spans="1:35" ht="15.7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49"/>
      <c r="AB370" s="52"/>
      <c r="AC370" s="52"/>
      <c r="AD370" s="52"/>
      <c r="AE370" s="52"/>
      <c r="AF370" s="52"/>
      <c r="AG370" s="52"/>
      <c r="AH370" s="52"/>
      <c r="AI370" s="52"/>
    </row>
    <row r="371" spans="1:35" ht="15.7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49"/>
      <c r="AB371" s="52"/>
      <c r="AC371" s="52"/>
      <c r="AD371" s="52"/>
      <c r="AE371" s="52"/>
      <c r="AF371" s="52"/>
      <c r="AG371" s="52"/>
      <c r="AH371" s="52"/>
      <c r="AI371" s="52"/>
    </row>
    <row r="372" spans="1:35" ht="15.7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49"/>
      <c r="AB372" s="52"/>
      <c r="AC372" s="52"/>
      <c r="AD372" s="52"/>
      <c r="AE372" s="52"/>
      <c r="AF372" s="52"/>
      <c r="AG372" s="52"/>
      <c r="AH372" s="52"/>
      <c r="AI372" s="52"/>
    </row>
    <row r="373" spans="1:35" ht="15.7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49"/>
      <c r="AB373" s="52"/>
      <c r="AC373" s="52"/>
      <c r="AD373" s="52"/>
      <c r="AE373" s="52"/>
      <c r="AF373" s="52"/>
      <c r="AG373" s="52"/>
      <c r="AH373" s="52"/>
      <c r="AI373" s="52"/>
    </row>
    <row r="374" spans="1:35" ht="15.7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49"/>
      <c r="AB374" s="52"/>
      <c r="AC374" s="52"/>
      <c r="AD374" s="52"/>
      <c r="AE374" s="52"/>
      <c r="AF374" s="52"/>
      <c r="AG374" s="52"/>
      <c r="AH374" s="52"/>
      <c r="AI374" s="52"/>
    </row>
    <row r="375" spans="1:35" ht="15.7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49"/>
      <c r="AB375" s="52"/>
      <c r="AC375" s="52"/>
      <c r="AD375" s="52"/>
      <c r="AE375" s="52"/>
      <c r="AF375" s="52"/>
      <c r="AG375" s="52"/>
      <c r="AH375" s="52"/>
      <c r="AI375" s="52"/>
    </row>
    <row r="376" spans="1:35" ht="15.7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49"/>
      <c r="AB376" s="52"/>
      <c r="AC376" s="52"/>
      <c r="AD376" s="52"/>
      <c r="AE376" s="52"/>
      <c r="AF376" s="52"/>
      <c r="AG376" s="52"/>
      <c r="AH376" s="52"/>
      <c r="AI376" s="52"/>
    </row>
    <row r="377" spans="1:35" ht="15.7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49"/>
      <c r="AB377" s="52"/>
      <c r="AC377" s="52"/>
      <c r="AD377" s="52"/>
      <c r="AE377" s="52"/>
      <c r="AF377" s="52"/>
      <c r="AG377" s="52"/>
      <c r="AH377" s="52"/>
      <c r="AI377" s="52"/>
    </row>
    <row r="378" spans="1:35" ht="15.7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49"/>
      <c r="AB378" s="52"/>
      <c r="AC378" s="52"/>
      <c r="AD378" s="52"/>
      <c r="AE378" s="52"/>
      <c r="AF378" s="52"/>
      <c r="AG378" s="52"/>
      <c r="AH378" s="52"/>
      <c r="AI378" s="52"/>
    </row>
    <row r="379" spans="1:35" ht="15.7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49"/>
      <c r="AB379" s="52"/>
      <c r="AC379" s="52"/>
      <c r="AD379" s="52"/>
      <c r="AE379" s="52"/>
      <c r="AF379" s="52"/>
      <c r="AG379" s="52"/>
      <c r="AH379" s="52"/>
      <c r="AI379" s="52"/>
    </row>
    <row r="380" spans="1:35" ht="15.7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49"/>
      <c r="AB380" s="52"/>
      <c r="AC380" s="52"/>
      <c r="AD380" s="52"/>
      <c r="AE380" s="52"/>
      <c r="AF380" s="52"/>
      <c r="AG380" s="52"/>
      <c r="AH380" s="52"/>
      <c r="AI380" s="52"/>
    </row>
    <row r="381" spans="1:35" ht="15.7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49"/>
      <c r="AB381" s="52"/>
      <c r="AC381" s="52"/>
      <c r="AD381" s="52"/>
      <c r="AE381" s="52"/>
      <c r="AF381" s="52"/>
      <c r="AG381" s="52"/>
      <c r="AH381" s="52"/>
      <c r="AI381" s="52"/>
    </row>
    <row r="382" spans="1:35" ht="15.7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49"/>
      <c r="AB382" s="52"/>
      <c r="AC382" s="52"/>
      <c r="AD382" s="52"/>
      <c r="AE382" s="52"/>
      <c r="AF382" s="52"/>
      <c r="AG382" s="52"/>
      <c r="AH382" s="52"/>
      <c r="AI382" s="52"/>
    </row>
    <row r="383" spans="1:35" ht="15.7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49"/>
      <c r="AB383" s="52"/>
      <c r="AC383" s="52"/>
      <c r="AD383" s="52"/>
      <c r="AE383" s="52"/>
      <c r="AF383" s="52"/>
      <c r="AG383" s="52"/>
      <c r="AH383" s="52"/>
      <c r="AI383" s="52"/>
    </row>
    <row r="384" spans="1:35" ht="15.7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49"/>
      <c r="AB384" s="52"/>
      <c r="AC384" s="52"/>
      <c r="AD384" s="52"/>
      <c r="AE384" s="52"/>
      <c r="AF384" s="52"/>
      <c r="AG384" s="52"/>
      <c r="AH384" s="52"/>
      <c r="AI384" s="52"/>
    </row>
    <row r="385" spans="1:35" ht="15.7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49"/>
      <c r="AB385" s="52"/>
      <c r="AC385" s="52"/>
      <c r="AD385" s="52"/>
      <c r="AE385" s="52"/>
      <c r="AF385" s="52"/>
      <c r="AG385" s="52"/>
      <c r="AH385" s="52"/>
      <c r="AI385" s="52"/>
    </row>
    <row r="386" spans="1:35" ht="15.7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49"/>
      <c r="AB386" s="52"/>
      <c r="AC386" s="52"/>
      <c r="AD386" s="52"/>
      <c r="AE386" s="52"/>
      <c r="AF386" s="52"/>
      <c r="AG386" s="52"/>
      <c r="AH386" s="52"/>
      <c r="AI386" s="52"/>
    </row>
    <row r="387" spans="1:35" ht="15.7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49"/>
      <c r="AB387" s="52"/>
      <c r="AC387" s="52"/>
      <c r="AD387" s="52"/>
      <c r="AE387" s="52"/>
      <c r="AF387" s="52"/>
      <c r="AG387" s="52"/>
      <c r="AH387" s="52"/>
      <c r="AI387" s="52"/>
    </row>
    <row r="388" spans="1:35" ht="15.7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49"/>
      <c r="AB388" s="52"/>
      <c r="AC388" s="52"/>
      <c r="AD388" s="52"/>
      <c r="AE388" s="52"/>
      <c r="AF388" s="52"/>
      <c r="AG388" s="52"/>
      <c r="AH388" s="52"/>
      <c r="AI388" s="52"/>
    </row>
    <row r="389" spans="1:35" ht="15.7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49"/>
      <c r="AB389" s="52"/>
      <c r="AC389" s="52"/>
      <c r="AD389" s="52"/>
      <c r="AE389" s="52"/>
      <c r="AF389" s="52"/>
      <c r="AG389" s="52"/>
      <c r="AH389" s="52"/>
      <c r="AI389" s="52"/>
    </row>
    <row r="390" spans="1:35" ht="15.7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49"/>
      <c r="AB390" s="52"/>
      <c r="AC390" s="52"/>
      <c r="AD390" s="52"/>
      <c r="AE390" s="52"/>
      <c r="AF390" s="52"/>
      <c r="AG390" s="52"/>
      <c r="AH390" s="52"/>
      <c r="AI390" s="52"/>
    </row>
    <row r="391" spans="1:35" ht="15.7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49"/>
      <c r="AB391" s="52"/>
      <c r="AC391" s="52"/>
      <c r="AD391" s="52"/>
      <c r="AE391" s="52"/>
      <c r="AF391" s="52"/>
      <c r="AG391" s="52"/>
      <c r="AH391" s="52"/>
      <c r="AI391" s="52"/>
    </row>
    <row r="392" spans="1:35" ht="15.7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49"/>
      <c r="AB392" s="52"/>
      <c r="AC392" s="52"/>
      <c r="AD392" s="52"/>
      <c r="AE392" s="52"/>
      <c r="AF392" s="52"/>
      <c r="AG392" s="52"/>
      <c r="AH392" s="52"/>
      <c r="AI392" s="52"/>
    </row>
    <row r="393" spans="1:35" ht="15.7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49"/>
      <c r="AB393" s="52"/>
      <c r="AC393" s="52"/>
      <c r="AD393" s="52"/>
      <c r="AE393" s="52"/>
      <c r="AF393" s="52"/>
      <c r="AG393" s="52"/>
      <c r="AH393" s="52"/>
      <c r="AI393" s="52"/>
    </row>
    <row r="394" spans="1:35" ht="15.7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49"/>
      <c r="AB394" s="52"/>
      <c r="AC394" s="52"/>
      <c r="AD394" s="52"/>
      <c r="AE394" s="52"/>
      <c r="AF394" s="52"/>
      <c r="AG394" s="52"/>
      <c r="AH394" s="52"/>
      <c r="AI394" s="52"/>
    </row>
    <row r="395" spans="1:35" ht="15.7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49"/>
      <c r="AB395" s="52"/>
      <c r="AC395" s="52"/>
      <c r="AD395" s="52"/>
      <c r="AE395" s="52"/>
      <c r="AF395" s="52"/>
      <c r="AG395" s="52"/>
      <c r="AH395" s="52"/>
      <c r="AI395" s="52"/>
    </row>
    <row r="396" spans="1:35" ht="15.7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49"/>
      <c r="AB396" s="52"/>
      <c r="AC396" s="52"/>
      <c r="AD396" s="52"/>
      <c r="AE396" s="52"/>
      <c r="AF396" s="52"/>
      <c r="AG396" s="52"/>
      <c r="AH396" s="52"/>
      <c r="AI396" s="52"/>
    </row>
    <row r="397" spans="1:35" ht="15.7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49"/>
      <c r="AB397" s="52"/>
      <c r="AC397" s="52"/>
      <c r="AD397" s="52"/>
      <c r="AE397" s="52"/>
      <c r="AF397" s="52"/>
      <c r="AG397" s="52"/>
      <c r="AH397" s="52"/>
      <c r="AI397" s="52"/>
    </row>
    <row r="398" spans="1:35" ht="15.7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49"/>
      <c r="AB398" s="52"/>
      <c r="AC398" s="52"/>
      <c r="AD398" s="52"/>
      <c r="AE398" s="52"/>
      <c r="AF398" s="52"/>
      <c r="AG398" s="52"/>
      <c r="AH398" s="52"/>
      <c r="AI398" s="52"/>
    </row>
    <row r="399" spans="1:35" ht="15.7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49"/>
      <c r="AB399" s="52"/>
      <c r="AC399" s="52"/>
      <c r="AD399" s="52"/>
      <c r="AE399" s="52"/>
      <c r="AF399" s="52"/>
      <c r="AG399" s="52"/>
      <c r="AH399" s="52"/>
      <c r="AI399" s="52"/>
    </row>
    <row r="400" spans="1:35" ht="15.7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49"/>
      <c r="AB400" s="52"/>
      <c r="AC400" s="52"/>
      <c r="AD400" s="52"/>
      <c r="AE400" s="52"/>
      <c r="AF400" s="52"/>
      <c r="AG400" s="52"/>
      <c r="AH400" s="52"/>
      <c r="AI400" s="52"/>
    </row>
    <row r="401" spans="1:35" ht="15.7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49"/>
      <c r="AB401" s="52"/>
      <c r="AC401" s="52"/>
      <c r="AD401" s="52"/>
      <c r="AE401" s="52"/>
      <c r="AF401" s="52"/>
      <c r="AG401" s="52"/>
      <c r="AH401" s="52"/>
      <c r="AI401" s="52"/>
    </row>
    <row r="402" spans="1:35" ht="15.7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49"/>
      <c r="AB402" s="52"/>
      <c r="AC402" s="52"/>
      <c r="AD402" s="52"/>
      <c r="AE402" s="52"/>
      <c r="AF402" s="52"/>
      <c r="AG402" s="52"/>
      <c r="AH402" s="52"/>
      <c r="AI402" s="52"/>
    </row>
    <row r="403" spans="1:35" ht="15.7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49"/>
      <c r="AB403" s="52"/>
      <c r="AC403" s="52"/>
      <c r="AD403" s="52"/>
      <c r="AE403" s="52"/>
      <c r="AF403" s="52"/>
      <c r="AG403" s="52"/>
      <c r="AH403" s="52"/>
      <c r="AI403" s="52"/>
    </row>
    <row r="404" spans="1:35" ht="15.7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49"/>
      <c r="AB404" s="52"/>
      <c r="AC404" s="52"/>
      <c r="AD404" s="52"/>
      <c r="AE404" s="52"/>
      <c r="AF404" s="52"/>
      <c r="AG404" s="52"/>
      <c r="AH404" s="52"/>
      <c r="AI404" s="52"/>
    </row>
    <row r="405" spans="1:35" ht="15.7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49"/>
      <c r="AB405" s="52"/>
      <c r="AC405" s="52"/>
      <c r="AD405" s="52"/>
      <c r="AE405" s="52"/>
      <c r="AF405" s="52"/>
      <c r="AG405" s="52"/>
      <c r="AH405" s="52"/>
      <c r="AI405" s="52"/>
    </row>
    <row r="406" spans="1:35" ht="15.7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49"/>
      <c r="AB406" s="52"/>
      <c r="AC406" s="52"/>
      <c r="AD406" s="52"/>
      <c r="AE406" s="52"/>
      <c r="AF406" s="52"/>
      <c r="AG406" s="52"/>
      <c r="AH406" s="52"/>
      <c r="AI406" s="52"/>
    </row>
    <row r="407" spans="1:35" ht="15.7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49"/>
      <c r="AB407" s="52"/>
      <c r="AC407" s="52"/>
      <c r="AD407" s="52"/>
      <c r="AE407" s="52"/>
      <c r="AF407" s="52"/>
      <c r="AG407" s="52"/>
      <c r="AH407" s="52"/>
      <c r="AI407" s="52"/>
    </row>
    <row r="408" spans="1:35" ht="15.7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49"/>
      <c r="AB408" s="52"/>
      <c r="AC408" s="52"/>
      <c r="AD408" s="52"/>
      <c r="AE408" s="52"/>
      <c r="AF408" s="52"/>
      <c r="AG408" s="52"/>
      <c r="AH408" s="52"/>
      <c r="AI408" s="52"/>
    </row>
    <row r="409" spans="1:35" ht="15.7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49"/>
      <c r="AB409" s="52"/>
      <c r="AC409" s="52"/>
      <c r="AD409" s="52"/>
      <c r="AE409" s="52"/>
      <c r="AF409" s="52"/>
      <c r="AG409" s="52"/>
      <c r="AH409" s="52"/>
      <c r="AI409" s="52"/>
    </row>
    <row r="410" spans="1:35" ht="15.7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49"/>
      <c r="AB410" s="52"/>
      <c r="AC410" s="52"/>
      <c r="AD410" s="52"/>
      <c r="AE410" s="52"/>
      <c r="AF410" s="52"/>
      <c r="AG410" s="52"/>
      <c r="AH410" s="52"/>
      <c r="AI410" s="52"/>
    </row>
    <row r="411" spans="1:35" ht="15.7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49"/>
      <c r="AB411" s="52"/>
      <c r="AC411" s="52"/>
      <c r="AD411" s="52"/>
      <c r="AE411" s="52"/>
      <c r="AF411" s="52"/>
      <c r="AG411" s="52"/>
      <c r="AH411" s="52"/>
      <c r="AI411" s="52"/>
    </row>
    <row r="412" spans="1:35" ht="15.7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49"/>
      <c r="AB412" s="52"/>
      <c r="AC412" s="52"/>
      <c r="AD412" s="52"/>
      <c r="AE412" s="52"/>
      <c r="AF412" s="52"/>
      <c r="AG412" s="52"/>
      <c r="AH412" s="52"/>
      <c r="AI412" s="52"/>
    </row>
    <row r="413" spans="1:35" ht="15.7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49"/>
      <c r="AB413" s="52"/>
      <c r="AC413" s="52"/>
      <c r="AD413" s="52"/>
      <c r="AE413" s="52"/>
      <c r="AF413" s="52"/>
      <c r="AG413" s="52"/>
      <c r="AH413" s="52"/>
      <c r="AI413" s="52"/>
    </row>
    <row r="414" spans="1:35" ht="15.7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49"/>
      <c r="AB414" s="52"/>
      <c r="AC414" s="52"/>
      <c r="AD414" s="52"/>
      <c r="AE414" s="52"/>
      <c r="AF414" s="52"/>
      <c r="AG414" s="52"/>
      <c r="AH414" s="52"/>
      <c r="AI414" s="52"/>
    </row>
    <row r="415" spans="1:35" ht="15.7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49"/>
      <c r="AB415" s="52"/>
      <c r="AC415" s="52"/>
      <c r="AD415" s="52"/>
      <c r="AE415" s="52"/>
      <c r="AF415" s="52"/>
      <c r="AG415" s="52"/>
      <c r="AH415" s="52"/>
      <c r="AI415" s="52"/>
    </row>
    <row r="416" spans="1:35" ht="15.7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49"/>
      <c r="AB416" s="52"/>
      <c r="AC416" s="52"/>
      <c r="AD416" s="52"/>
      <c r="AE416" s="52"/>
      <c r="AF416" s="52"/>
      <c r="AG416" s="52"/>
      <c r="AH416" s="52"/>
      <c r="AI416" s="52"/>
    </row>
    <row r="417" spans="1:35" ht="15.7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49"/>
      <c r="AB417" s="52"/>
      <c r="AC417" s="52"/>
      <c r="AD417" s="52"/>
      <c r="AE417" s="52"/>
      <c r="AF417" s="52"/>
      <c r="AG417" s="52"/>
      <c r="AH417" s="52"/>
      <c r="AI417" s="52"/>
    </row>
    <row r="418" spans="1:35" ht="15.7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49"/>
      <c r="AB418" s="52"/>
      <c r="AC418" s="52"/>
      <c r="AD418" s="52"/>
      <c r="AE418" s="52"/>
      <c r="AF418" s="52"/>
      <c r="AG418" s="52"/>
      <c r="AH418" s="52"/>
      <c r="AI418" s="52"/>
    </row>
    <row r="419" spans="1:35" ht="15.7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49"/>
      <c r="AB419" s="52"/>
      <c r="AC419" s="52"/>
      <c r="AD419" s="52"/>
      <c r="AE419" s="52"/>
      <c r="AF419" s="52"/>
      <c r="AG419" s="52"/>
      <c r="AH419" s="52"/>
      <c r="AI419" s="52"/>
    </row>
    <row r="420" spans="1:35" ht="15.7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49"/>
      <c r="AB420" s="52"/>
      <c r="AC420" s="52"/>
      <c r="AD420" s="52"/>
      <c r="AE420" s="52"/>
      <c r="AF420" s="52"/>
      <c r="AG420" s="52"/>
      <c r="AH420" s="52"/>
      <c r="AI420" s="52"/>
    </row>
    <row r="421" spans="1:35" ht="15.7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49"/>
      <c r="AB421" s="52"/>
      <c r="AC421" s="52"/>
      <c r="AD421" s="52"/>
      <c r="AE421" s="52"/>
      <c r="AF421" s="52"/>
      <c r="AG421" s="52"/>
      <c r="AH421" s="52"/>
      <c r="AI421" s="52"/>
    </row>
    <row r="422" spans="1:35" ht="15.7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49"/>
      <c r="AB422" s="52"/>
      <c r="AC422" s="52"/>
      <c r="AD422" s="52"/>
      <c r="AE422" s="52"/>
      <c r="AF422" s="52"/>
      <c r="AG422" s="52"/>
      <c r="AH422" s="52"/>
      <c r="AI422" s="52"/>
    </row>
    <row r="423" spans="1:35" ht="15.7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49"/>
      <c r="AB423" s="52"/>
      <c r="AC423" s="52"/>
      <c r="AD423" s="52"/>
      <c r="AE423" s="52"/>
      <c r="AF423" s="52"/>
      <c r="AG423" s="52"/>
      <c r="AH423" s="52"/>
      <c r="AI423" s="52"/>
    </row>
    <row r="424" spans="1:35" ht="15.7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49"/>
      <c r="AB424" s="52"/>
      <c r="AC424" s="52"/>
      <c r="AD424" s="52"/>
      <c r="AE424" s="52"/>
      <c r="AF424" s="52"/>
      <c r="AG424" s="52"/>
      <c r="AH424" s="52"/>
      <c r="AI424" s="52"/>
    </row>
    <row r="425" spans="1:35" ht="15.7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49"/>
      <c r="AB425" s="52"/>
      <c r="AC425" s="52"/>
      <c r="AD425" s="52"/>
      <c r="AE425" s="52"/>
      <c r="AF425" s="52"/>
      <c r="AG425" s="52"/>
      <c r="AH425" s="52"/>
      <c r="AI425" s="52"/>
    </row>
    <row r="426" spans="1:35" ht="15.7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49"/>
      <c r="AB426" s="52"/>
      <c r="AC426" s="52"/>
      <c r="AD426" s="52"/>
      <c r="AE426" s="52"/>
      <c r="AF426" s="52"/>
      <c r="AG426" s="52"/>
      <c r="AH426" s="52"/>
      <c r="AI426" s="52"/>
    </row>
    <row r="427" spans="1:35" ht="15.7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49"/>
      <c r="AB427" s="52"/>
      <c r="AC427" s="52"/>
      <c r="AD427" s="52"/>
      <c r="AE427" s="52"/>
      <c r="AF427" s="52"/>
      <c r="AG427" s="52"/>
      <c r="AH427" s="52"/>
      <c r="AI427" s="52"/>
    </row>
    <row r="428" spans="1:35" ht="15.7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49"/>
      <c r="AB428" s="52"/>
      <c r="AC428" s="52"/>
      <c r="AD428" s="52"/>
      <c r="AE428" s="52"/>
      <c r="AF428" s="52"/>
      <c r="AG428" s="52"/>
      <c r="AH428" s="52"/>
      <c r="AI428" s="52"/>
    </row>
    <row r="429" spans="1:35" ht="15.7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49"/>
      <c r="AB429" s="52"/>
      <c r="AC429" s="52"/>
      <c r="AD429" s="52"/>
      <c r="AE429" s="52"/>
      <c r="AF429" s="52"/>
      <c r="AG429" s="52"/>
      <c r="AH429" s="52"/>
      <c r="AI429" s="52"/>
    </row>
    <row r="430" spans="1:35" ht="15.7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49"/>
      <c r="AB430" s="52"/>
      <c r="AC430" s="52"/>
      <c r="AD430" s="52"/>
      <c r="AE430" s="52"/>
      <c r="AF430" s="52"/>
      <c r="AG430" s="52"/>
      <c r="AH430" s="52"/>
      <c r="AI430" s="52"/>
    </row>
    <row r="431" spans="1:35" ht="15.7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49"/>
      <c r="AB431" s="52"/>
      <c r="AC431" s="52"/>
      <c r="AD431" s="52"/>
      <c r="AE431" s="52"/>
      <c r="AF431" s="52"/>
      <c r="AG431" s="52"/>
      <c r="AH431" s="52"/>
      <c r="AI431" s="52"/>
    </row>
    <row r="432" spans="1:35" ht="15.7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49"/>
      <c r="AB432" s="52"/>
      <c r="AC432" s="52"/>
      <c r="AD432" s="52"/>
      <c r="AE432" s="52"/>
      <c r="AF432" s="52"/>
      <c r="AG432" s="52"/>
      <c r="AH432" s="52"/>
      <c r="AI432" s="52"/>
    </row>
    <row r="433" spans="1:35" ht="15.7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49"/>
      <c r="AB433" s="52"/>
      <c r="AC433" s="52"/>
      <c r="AD433" s="52"/>
      <c r="AE433" s="52"/>
      <c r="AF433" s="52"/>
      <c r="AG433" s="52"/>
      <c r="AH433" s="52"/>
      <c r="AI433" s="52"/>
    </row>
    <row r="434" spans="1:35" ht="15.7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49"/>
      <c r="AB434" s="52"/>
      <c r="AC434" s="52"/>
      <c r="AD434" s="52"/>
      <c r="AE434" s="52"/>
      <c r="AF434" s="52"/>
      <c r="AG434" s="52"/>
      <c r="AH434" s="52"/>
      <c r="AI434" s="52"/>
    </row>
    <row r="435" spans="1:35" ht="15.7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49"/>
      <c r="AB435" s="52"/>
      <c r="AC435" s="52"/>
      <c r="AD435" s="52"/>
      <c r="AE435" s="52"/>
      <c r="AF435" s="52"/>
      <c r="AG435" s="52"/>
      <c r="AH435" s="52"/>
      <c r="AI435" s="52"/>
    </row>
    <row r="436" spans="1:35" ht="15.7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49"/>
      <c r="AB436" s="52"/>
      <c r="AC436" s="52"/>
      <c r="AD436" s="52"/>
      <c r="AE436" s="52"/>
      <c r="AF436" s="52"/>
      <c r="AG436" s="52"/>
      <c r="AH436" s="52"/>
      <c r="AI436" s="52"/>
    </row>
    <row r="437" spans="1:35" ht="15.7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49"/>
      <c r="AB437" s="52"/>
      <c r="AC437" s="52"/>
      <c r="AD437" s="52"/>
      <c r="AE437" s="52"/>
      <c r="AF437" s="52"/>
      <c r="AG437" s="52"/>
      <c r="AH437" s="52"/>
      <c r="AI437" s="52"/>
    </row>
    <row r="438" spans="1:35" ht="15.7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49"/>
      <c r="AB438" s="52"/>
      <c r="AC438" s="52"/>
      <c r="AD438" s="52"/>
      <c r="AE438" s="52"/>
      <c r="AF438" s="52"/>
      <c r="AG438" s="52"/>
      <c r="AH438" s="52"/>
      <c r="AI438" s="52"/>
    </row>
    <row r="439" spans="1:35" ht="15.7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49"/>
      <c r="AB439" s="52"/>
      <c r="AC439" s="52"/>
      <c r="AD439" s="52"/>
      <c r="AE439" s="52"/>
      <c r="AF439" s="52"/>
      <c r="AG439" s="52"/>
      <c r="AH439" s="52"/>
      <c r="AI439" s="52"/>
    </row>
    <row r="440" spans="1:35" ht="15.7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49"/>
      <c r="AB440" s="52"/>
      <c r="AC440" s="52"/>
      <c r="AD440" s="52"/>
      <c r="AE440" s="52"/>
      <c r="AF440" s="52"/>
      <c r="AG440" s="52"/>
      <c r="AH440" s="52"/>
      <c r="AI440" s="52"/>
    </row>
    <row r="441" spans="1:35" ht="15.7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49"/>
      <c r="AB441" s="52"/>
      <c r="AC441" s="52"/>
      <c r="AD441" s="52"/>
      <c r="AE441" s="52"/>
      <c r="AF441" s="52"/>
      <c r="AG441" s="52"/>
      <c r="AH441" s="52"/>
      <c r="AI441" s="52"/>
    </row>
    <row r="442" spans="1:35" ht="15.7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49"/>
      <c r="AB442" s="52"/>
      <c r="AC442" s="52"/>
      <c r="AD442" s="52"/>
      <c r="AE442" s="52"/>
      <c r="AF442" s="52"/>
      <c r="AG442" s="52"/>
      <c r="AH442" s="52"/>
      <c r="AI442" s="52"/>
    </row>
    <row r="443" spans="1:35" ht="15.7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49"/>
      <c r="AB443" s="52"/>
      <c r="AC443" s="52"/>
      <c r="AD443" s="52"/>
      <c r="AE443" s="52"/>
      <c r="AF443" s="52"/>
      <c r="AG443" s="52"/>
      <c r="AH443" s="52"/>
      <c r="AI443" s="52"/>
    </row>
    <row r="444" spans="1:35" ht="15.7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49"/>
      <c r="AB444" s="52"/>
      <c r="AC444" s="52"/>
      <c r="AD444" s="52"/>
      <c r="AE444" s="52"/>
      <c r="AF444" s="52"/>
      <c r="AG444" s="52"/>
      <c r="AH444" s="52"/>
      <c r="AI444" s="52"/>
    </row>
    <row r="445" spans="1:35" ht="15.7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49"/>
      <c r="AB445" s="52"/>
      <c r="AC445" s="52"/>
      <c r="AD445" s="52"/>
      <c r="AE445" s="52"/>
      <c r="AF445" s="52"/>
      <c r="AG445" s="52"/>
      <c r="AH445" s="52"/>
      <c r="AI445" s="52"/>
    </row>
    <row r="446" spans="1:35" ht="15.7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49"/>
      <c r="AB446" s="52"/>
      <c r="AC446" s="52"/>
      <c r="AD446" s="52"/>
      <c r="AE446" s="52"/>
      <c r="AF446" s="52"/>
      <c r="AG446" s="52"/>
      <c r="AH446" s="52"/>
      <c r="AI446" s="52"/>
    </row>
    <row r="447" spans="1:35" ht="15.7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49"/>
      <c r="AB447" s="52"/>
      <c r="AC447" s="52"/>
      <c r="AD447" s="52"/>
      <c r="AE447" s="52"/>
      <c r="AF447" s="52"/>
      <c r="AG447" s="52"/>
      <c r="AH447" s="52"/>
      <c r="AI447" s="52"/>
    </row>
    <row r="448" spans="1:35" ht="15.7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49"/>
      <c r="AB448" s="52"/>
      <c r="AC448" s="52"/>
      <c r="AD448" s="52"/>
      <c r="AE448" s="52"/>
      <c r="AF448" s="52"/>
      <c r="AG448" s="52"/>
      <c r="AH448" s="52"/>
      <c r="AI448" s="52"/>
    </row>
    <row r="449" spans="1:35" ht="15.7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49"/>
      <c r="AB449" s="52"/>
      <c r="AC449" s="52"/>
      <c r="AD449" s="52"/>
      <c r="AE449" s="52"/>
      <c r="AF449" s="52"/>
      <c r="AG449" s="52"/>
      <c r="AH449" s="52"/>
      <c r="AI449" s="52"/>
    </row>
    <row r="450" spans="1:35" ht="15.7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49"/>
      <c r="AB450" s="52"/>
      <c r="AC450" s="52"/>
      <c r="AD450" s="52"/>
      <c r="AE450" s="52"/>
      <c r="AF450" s="52"/>
      <c r="AG450" s="52"/>
      <c r="AH450" s="52"/>
      <c r="AI450" s="52"/>
    </row>
    <row r="451" spans="1:35" ht="15.7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49"/>
      <c r="AB451" s="52"/>
      <c r="AC451" s="52"/>
      <c r="AD451" s="52"/>
      <c r="AE451" s="52"/>
      <c r="AF451" s="52"/>
      <c r="AG451" s="52"/>
      <c r="AH451" s="52"/>
      <c r="AI451" s="52"/>
    </row>
    <row r="452" spans="1:35" ht="15.7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49"/>
      <c r="AB452" s="52"/>
      <c r="AC452" s="52"/>
      <c r="AD452" s="52"/>
      <c r="AE452" s="52"/>
      <c r="AF452" s="52"/>
      <c r="AG452" s="52"/>
      <c r="AH452" s="52"/>
      <c r="AI452" s="52"/>
    </row>
    <row r="453" spans="1:35" ht="15.7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49"/>
      <c r="AB453" s="52"/>
      <c r="AC453" s="52"/>
      <c r="AD453" s="52"/>
      <c r="AE453" s="52"/>
      <c r="AF453" s="52"/>
      <c r="AG453" s="52"/>
      <c r="AH453" s="52"/>
      <c r="AI453" s="52"/>
    </row>
    <row r="454" spans="1:35" ht="15.7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49"/>
      <c r="AB454" s="52"/>
      <c r="AC454" s="52"/>
      <c r="AD454" s="52"/>
      <c r="AE454" s="52"/>
      <c r="AF454" s="52"/>
      <c r="AG454" s="52"/>
      <c r="AH454" s="52"/>
      <c r="AI454" s="52"/>
    </row>
    <row r="455" spans="1:35" ht="15.7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49"/>
      <c r="AB455" s="52"/>
      <c r="AC455" s="52"/>
      <c r="AD455" s="52"/>
      <c r="AE455" s="52"/>
      <c r="AF455" s="52"/>
      <c r="AG455" s="52"/>
      <c r="AH455" s="52"/>
      <c r="AI455" s="52"/>
    </row>
    <row r="456" spans="1:35" ht="15.7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49"/>
      <c r="AB456" s="52"/>
      <c r="AC456" s="52"/>
      <c r="AD456" s="52"/>
      <c r="AE456" s="52"/>
      <c r="AF456" s="52"/>
      <c r="AG456" s="52"/>
      <c r="AH456" s="52"/>
      <c r="AI456" s="52"/>
    </row>
    <row r="457" spans="1:35" ht="15.7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49"/>
      <c r="AB457" s="52"/>
      <c r="AC457" s="52"/>
      <c r="AD457" s="52"/>
      <c r="AE457" s="52"/>
      <c r="AF457" s="52"/>
      <c r="AG457" s="52"/>
      <c r="AH457" s="52"/>
      <c r="AI457" s="52"/>
    </row>
    <row r="458" spans="1:35" ht="15.7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49"/>
      <c r="AB458" s="52"/>
      <c r="AC458" s="52"/>
      <c r="AD458" s="52"/>
      <c r="AE458" s="52"/>
      <c r="AF458" s="52"/>
      <c r="AG458" s="52"/>
      <c r="AH458" s="52"/>
      <c r="AI458" s="52"/>
    </row>
    <row r="459" spans="1:35" ht="15.7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49"/>
      <c r="AB459" s="52"/>
      <c r="AC459" s="52"/>
      <c r="AD459" s="52"/>
      <c r="AE459" s="52"/>
      <c r="AF459" s="52"/>
      <c r="AG459" s="52"/>
      <c r="AH459" s="52"/>
      <c r="AI459" s="52"/>
    </row>
    <row r="460" spans="1:35" ht="15.7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49"/>
      <c r="AB460" s="52"/>
      <c r="AC460" s="52"/>
      <c r="AD460" s="52"/>
      <c r="AE460" s="52"/>
      <c r="AF460" s="52"/>
      <c r="AG460" s="52"/>
      <c r="AH460" s="52"/>
      <c r="AI460" s="52"/>
    </row>
    <row r="461" spans="1:35" ht="15.7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49"/>
      <c r="AB461" s="52"/>
      <c r="AC461" s="52"/>
      <c r="AD461" s="52"/>
      <c r="AE461" s="52"/>
      <c r="AF461" s="52"/>
      <c r="AG461" s="52"/>
      <c r="AH461" s="52"/>
      <c r="AI461" s="52"/>
    </row>
    <row r="462" spans="1:35" ht="15.7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49"/>
      <c r="AB462" s="52"/>
      <c r="AC462" s="52"/>
      <c r="AD462" s="52"/>
      <c r="AE462" s="52"/>
      <c r="AF462" s="52"/>
      <c r="AG462" s="52"/>
      <c r="AH462" s="52"/>
      <c r="AI462" s="52"/>
    </row>
    <row r="463" spans="1:35" ht="15.7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49"/>
      <c r="AB463" s="52"/>
      <c r="AC463" s="52"/>
      <c r="AD463" s="52"/>
      <c r="AE463" s="52"/>
      <c r="AF463" s="52"/>
      <c r="AG463" s="52"/>
      <c r="AH463" s="52"/>
      <c r="AI463" s="52"/>
    </row>
    <row r="464" spans="1:35" ht="15.7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49"/>
      <c r="AB464" s="52"/>
      <c r="AC464" s="52"/>
      <c r="AD464" s="52"/>
      <c r="AE464" s="52"/>
      <c r="AF464" s="52"/>
      <c r="AG464" s="52"/>
      <c r="AH464" s="52"/>
      <c r="AI464" s="52"/>
    </row>
    <row r="465" spans="1:35" ht="15.7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49"/>
      <c r="AB465" s="52"/>
      <c r="AC465" s="52"/>
      <c r="AD465" s="52"/>
      <c r="AE465" s="52"/>
      <c r="AF465" s="52"/>
      <c r="AG465" s="52"/>
      <c r="AH465" s="52"/>
      <c r="AI465" s="52"/>
    </row>
    <row r="466" spans="1:35" ht="15.7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49"/>
      <c r="AB466" s="52"/>
      <c r="AC466" s="52"/>
      <c r="AD466" s="52"/>
      <c r="AE466" s="52"/>
      <c r="AF466" s="52"/>
      <c r="AG466" s="52"/>
      <c r="AH466" s="52"/>
      <c r="AI466" s="52"/>
    </row>
    <row r="467" spans="1:35" ht="15.7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49"/>
      <c r="AB467" s="52"/>
      <c r="AC467" s="52"/>
      <c r="AD467" s="52"/>
      <c r="AE467" s="52"/>
      <c r="AF467" s="52"/>
      <c r="AG467" s="52"/>
      <c r="AH467" s="52"/>
      <c r="AI467" s="52"/>
    </row>
    <row r="468" spans="1:35" ht="15.7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49"/>
      <c r="AB468" s="52"/>
      <c r="AC468" s="52"/>
      <c r="AD468" s="52"/>
      <c r="AE468" s="52"/>
      <c r="AF468" s="52"/>
      <c r="AG468" s="52"/>
      <c r="AH468" s="52"/>
      <c r="AI468" s="52"/>
    </row>
    <row r="469" spans="1:35" ht="15.7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49"/>
      <c r="AB469" s="52"/>
      <c r="AC469" s="52"/>
      <c r="AD469" s="52"/>
      <c r="AE469" s="52"/>
      <c r="AF469" s="52"/>
      <c r="AG469" s="52"/>
      <c r="AH469" s="52"/>
      <c r="AI469" s="52"/>
    </row>
    <row r="470" spans="1:35" ht="15.7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49"/>
      <c r="AB470" s="52"/>
      <c r="AC470" s="52"/>
      <c r="AD470" s="52"/>
      <c r="AE470" s="52"/>
      <c r="AF470" s="52"/>
      <c r="AG470" s="52"/>
      <c r="AH470" s="52"/>
      <c r="AI470" s="52"/>
    </row>
    <row r="471" spans="1:35" ht="15.7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49"/>
      <c r="AB471" s="52"/>
      <c r="AC471" s="52"/>
      <c r="AD471" s="52"/>
      <c r="AE471" s="52"/>
      <c r="AF471" s="52"/>
      <c r="AG471" s="52"/>
      <c r="AH471" s="52"/>
      <c r="AI471" s="52"/>
    </row>
    <row r="472" spans="1:35" ht="15.7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49"/>
      <c r="AB472" s="52"/>
      <c r="AC472" s="52"/>
      <c r="AD472" s="52"/>
      <c r="AE472" s="52"/>
      <c r="AF472" s="52"/>
      <c r="AG472" s="52"/>
      <c r="AH472" s="52"/>
      <c r="AI472" s="52"/>
    </row>
    <row r="473" spans="1:35" ht="15.7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49"/>
      <c r="AB473" s="52"/>
      <c r="AC473" s="52"/>
      <c r="AD473" s="52"/>
      <c r="AE473" s="52"/>
      <c r="AF473" s="52"/>
      <c r="AG473" s="52"/>
      <c r="AH473" s="52"/>
      <c r="AI473" s="52"/>
    </row>
    <row r="474" spans="1:35" ht="15.7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49"/>
      <c r="AB474" s="52"/>
      <c r="AC474" s="52"/>
      <c r="AD474" s="52"/>
      <c r="AE474" s="52"/>
      <c r="AF474" s="52"/>
      <c r="AG474" s="52"/>
      <c r="AH474" s="52"/>
      <c r="AI474" s="52"/>
    </row>
    <row r="475" spans="1:35" ht="15.7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49"/>
      <c r="AB475" s="52"/>
      <c r="AC475" s="52"/>
      <c r="AD475" s="52"/>
      <c r="AE475" s="52"/>
      <c r="AF475" s="52"/>
      <c r="AG475" s="52"/>
      <c r="AH475" s="52"/>
      <c r="AI475" s="52"/>
    </row>
    <row r="476" spans="1:35" ht="15.7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49"/>
      <c r="AB476" s="52"/>
      <c r="AC476" s="52"/>
      <c r="AD476" s="52"/>
      <c r="AE476" s="52"/>
      <c r="AF476" s="52"/>
      <c r="AG476" s="52"/>
      <c r="AH476" s="52"/>
      <c r="AI476" s="52"/>
    </row>
    <row r="477" spans="1:35" ht="15.7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49"/>
      <c r="AB477" s="52"/>
      <c r="AC477" s="52"/>
      <c r="AD477" s="52"/>
      <c r="AE477" s="52"/>
      <c r="AF477" s="52"/>
      <c r="AG477" s="52"/>
      <c r="AH477" s="52"/>
      <c r="AI477" s="52"/>
    </row>
    <row r="478" spans="1:35" ht="15.7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49"/>
      <c r="AB478" s="52"/>
      <c r="AC478" s="52"/>
      <c r="AD478" s="52"/>
      <c r="AE478" s="52"/>
      <c r="AF478" s="52"/>
      <c r="AG478" s="52"/>
      <c r="AH478" s="52"/>
      <c r="AI478" s="52"/>
    </row>
    <row r="479" spans="1:35" ht="15.7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49"/>
      <c r="AB479" s="52"/>
      <c r="AC479" s="52"/>
      <c r="AD479" s="52"/>
      <c r="AE479" s="52"/>
      <c r="AF479" s="52"/>
      <c r="AG479" s="52"/>
      <c r="AH479" s="52"/>
      <c r="AI479" s="52"/>
    </row>
    <row r="480" spans="1:35" ht="15.7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49"/>
      <c r="AB480" s="52"/>
      <c r="AC480" s="52"/>
      <c r="AD480" s="52"/>
      <c r="AE480" s="52"/>
      <c r="AF480" s="52"/>
      <c r="AG480" s="52"/>
      <c r="AH480" s="52"/>
      <c r="AI480" s="52"/>
    </row>
    <row r="481" spans="1:35" ht="15.7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49"/>
      <c r="AB481" s="52"/>
      <c r="AC481" s="52"/>
      <c r="AD481" s="52"/>
      <c r="AE481" s="52"/>
      <c r="AF481" s="52"/>
      <c r="AG481" s="52"/>
      <c r="AH481" s="52"/>
      <c r="AI481" s="52"/>
    </row>
    <row r="482" spans="1:35" ht="15.7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49"/>
      <c r="AB482" s="52"/>
      <c r="AC482" s="52"/>
      <c r="AD482" s="52"/>
      <c r="AE482" s="52"/>
      <c r="AF482" s="52"/>
      <c r="AG482" s="52"/>
      <c r="AH482" s="52"/>
      <c r="AI482" s="52"/>
    </row>
    <row r="483" spans="1:35" ht="15.7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49"/>
      <c r="AB483" s="52"/>
      <c r="AC483" s="52"/>
      <c r="AD483" s="52"/>
      <c r="AE483" s="52"/>
      <c r="AF483" s="52"/>
      <c r="AG483" s="52"/>
      <c r="AH483" s="52"/>
      <c r="AI483" s="52"/>
    </row>
    <row r="484" spans="1:35" ht="15.7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49"/>
      <c r="AB484" s="52"/>
      <c r="AC484" s="52"/>
      <c r="AD484" s="52"/>
      <c r="AE484" s="52"/>
      <c r="AF484" s="52"/>
      <c r="AG484" s="52"/>
      <c r="AH484" s="52"/>
      <c r="AI484" s="52"/>
    </row>
    <row r="485" spans="1:35" ht="15.7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49"/>
      <c r="AB485" s="52"/>
      <c r="AC485" s="52"/>
      <c r="AD485" s="52"/>
      <c r="AE485" s="52"/>
      <c r="AF485" s="52"/>
      <c r="AG485" s="52"/>
      <c r="AH485" s="52"/>
      <c r="AI485" s="52"/>
    </row>
    <row r="486" spans="1:35" ht="15.7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49"/>
      <c r="AB486" s="52"/>
      <c r="AC486" s="52"/>
      <c r="AD486" s="52"/>
      <c r="AE486" s="52"/>
      <c r="AF486" s="52"/>
      <c r="AG486" s="52"/>
      <c r="AH486" s="52"/>
      <c r="AI486" s="52"/>
    </row>
    <row r="487" spans="1:35" ht="15.7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49"/>
      <c r="AB487" s="52"/>
      <c r="AC487" s="52"/>
      <c r="AD487" s="52"/>
      <c r="AE487" s="52"/>
      <c r="AF487" s="52"/>
      <c r="AG487" s="52"/>
      <c r="AH487" s="52"/>
      <c r="AI487" s="52"/>
    </row>
    <row r="488" spans="1:35" ht="15.7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49"/>
      <c r="AB488" s="52"/>
      <c r="AC488" s="52"/>
      <c r="AD488" s="52"/>
      <c r="AE488" s="52"/>
      <c r="AF488" s="52"/>
      <c r="AG488" s="52"/>
      <c r="AH488" s="52"/>
      <c r="AI488" s="52"/>
    </row>
    <row r="489" spans="1:35" ht="15.7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49"/>
      <c r="AB489" s="52"/>
      <c r="AC489" s="52"/>
      <c r="AD489" s="52"/>
      <c r="AE489" s="52"/>
      <c r="AF489" s="52"/>
      <c r="AG489" s="52"/>
      <c r="AH489" s="52"/>
      <c r="AI489" s="52"/>
    </row>
    <row r="490" spans="1:35" ht="15.7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49"/>
      <c r="AB490" s="52"/>
      <c r="AC490" s="52"/>
      <c r="AD490" s="52"/>
      <c r="AE490" s="52"/>
      <c r="AF490" s="52"/>
      <c r="AG490" s="52"/>
      <c r="AH490" s="52"/>
      <c r="AI490" s="52"/>
    </row>
    <row r="491" spans="1:35" ht="15.7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49"/>
      <c r="AB491" s="52"/>
      <c r="AC491" s="52"/>
      <c r="AD491" s="52"/>
      <c r="AE491" s="52"/>
      <c r="AF491" s="52"/>
      <c r="AG491" s="52"/>
      <c r="AH491" s="52"/>
      <c r="AI491" s="52"/>
    </row>
    <row r="492" spans="1:35" ht="15.7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49"/>
      <c r="AB492" s="52"/>
      <c r="AC492" s="52"/>
      <c r="AD492" s="52"/>
      <c r="AE492" s="52"/>
      <c r="AF492" s="52"/>
      <c r="AG492" s="52"/>
      <c r="AH492" s="52"/>
      <c r="AI492" s="52"/>
    </row>
    <row r="493" spans="1:35" ht="15.7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49"/>
      <c r="AB493" s="52"/>
      <c r="AC493" s="52"/>
      <c r="AD493" s="52"/>
      <c r="AE493" s="52"/>
      <c r="AF493" s="52"/>
      <c r="AG493" s="52"/>
      <c r="AH493" s="52"/>
      <c r="AI493" s="52"/>
    </row>
    <row r="494" spans="1:35" ht="15.7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49"/>
      <c r="AB494" s="52"/>
      <c r="AC494" s="52"/>
      <c r="AD494" s="52"/>
      <c r="AE494" s="52"/>
      <c r="AF494" s="52"/>
      <c r="AG494" s="52"/>
      <c r="AH494" s="52"/>
      <c r="AI494" s="52"/>
    </row>
    <row r="495" spans="1:35" ht="15.7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49"/>
      <c r="AB495" s="52"/>
      <c r="AC495" s="52"/>
      <c r="AD495" s="52"/>
      <c r="AE495" s="52"/>
      <c r="AF495" s="52"/>
      <c r="AG495" s="52"/>
      <c r="AH495" s="52"/>
      <c r="AI495" s="52"/>
    </row>
    <row r="496" spans="1:35" ht="15.7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49"/>
      <c r="AB496" s="52"/>
      <c r="AC496" s="52"/>
      <c r="AD496" s="52"/>
      <c r="AE496" s="52"/>
      <c r="AF496" s="52"/>
      <c r="AG496" s="52"/>
      <c r="AH496" s="52"/>
      <c r="AI496" s="52"/>
    </row>
    <row r="497" spans="1:35" ht="15.7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49"/>
      <c r="AB497" s="52"/>
      <c r="AC497" s="52"/>
      <c r="AD497" s="52"/>
      <c r="AE497" s="52"/>
      <c r="AF497" s="52"/>
      <c r="AG497" s="52"/>
      <c r="AH497" s="52"/>
      <c r="AI497" s="52"/>
    </row>
    <row r="498" spans="1:35" ht="15.7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49"/>
      <c r="AB498" s="52"/>
      <c r="AC498" s="52"/>
      <c r="AD498" s="52"/>
      <c r="AE498" s="52"/>
      <c r="AF498" s="52"/>
      <c r="AG498" s="52"/>
      <c r="AH498" s="52"/>
      <c r="AI498" s="52"/>
    </row>
    <row r="499" spans="1:35" ht="15.7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49"/>
      <c r="AB499" s="52"/>
      <c r="AC499" s="52"/>
      <c r="AD499" s="52"/>
      <c r="AE499" s="52"/>
      <c r="AF499" s="52"/>
      <c r="AG499" s="52"/>
      <c r="AH499" s="52"/>
      <c r="AI499" s="52"/>
    </row>
    <row r="500" spans="1:35" ht="15.7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49"/>
      <c r="AB500" s="52"/>
      <c r="AC500" s="52"/>
      <c r="AD500" s="52"/>
      <c r="AE500" s="52"/>
      <c r="AF500" s="52"/>
      <c r="AG500" s="52"/>
      <c r="AH500" s="52"/>
      <c r="AI500" s="52"/>
    </row>
    <row r="501" spans="1:35" ht="15.7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49"/>
      <c r="AB501" s="52"/>
      <c r="AC501" s="52"/>
      <c r="AD501" s="52"/>
      <c r="AE501" s="52"/>
      <c r="AF501" s="52"/>
      <c r="AG501" s="52"/>
      <c r="AH501" s="52"/>
      <c r="AI501" s="52"/>
    </row>
    <row r="502" spans="1:35" ht="15.7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49"/>
      <c r="AB502" s="52"/>
      <c r="AC502" s="52"/>
      <c r="AD502" s="52"/>
      <c r="AE502" s="52"/>
      <c r="AF502" s="52"/>
      <c r="AG502" s="52"/>
      <c r="AH502" s="52"/>
      <c r="AI502" s="52"/>
    </row>
    <row r="503" spans="1:35" ht="15.7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49"/>
      <c r="AB503" s="52"/>
      <c r="AC503" s="52"/>
      <c r="AD503" s="52"/>
      <c r="AE503" s="52"/>
      <c r="AF503" s="52"/>
      <c r="AG503" s="52"/>
      <c r="AH503" s="52"/>
      <c r="AI503" s="52"/>
    </row>
    <row r="504" spans="1:35" ht="15.7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49"/>
      <c r="AB504" s="52"/>
      <c r="AC504" s="52"/>
      <c r="AD504" s="52"/>
      <c r="AE504" s="52"/>
      <c r="AF504" s="52"/>
      <c r="AG504" s="52"/>
      <c r="AH504" s="52"/>
      <c r="AI504" s="52"/>
    </row>
    <row r="505" spans="1:35" ht="15.7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49"/>
      <c r="AB505" s="52"/>
      <c r="AC505" s="52"/>
      <c r="AD505" s="52"/>
      <c r="AE505" s="52"/>
      <c r="AF505" s="52"/>
      <c r="AG505" s="52"/>
      <c r="AH505" s="52"/>
      <c r="AI505" s="52"/>
    </row>
    <row r="506" spans="1:35" ht="15.7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49"/>
      <c r="AB506" s="52"/>
      <c r="AC506" s="52"/>
      <c r="AD506" s="52"/>
      <c r="AE506" s="52"/>
      <c r="AF506" s="52"/>
      <c r="AG506" s="52"/>
      <c r="AH506" s="52"/>
      <c r="AI506" s="52"/>
    </row>
    <row r="507" spans="1:35" ht="15.7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49"/>
      <c r="AB507" s="52"/>
      <c r="AC507" s="52"/>
      <c r="AD507" s="52"/>
      <c r="AE507" s="52"/>
      <c r="AF507" s="52"/>
      <c r="AG507" s="52"/>
      <c r="AH507" s="52"/>
      <c r="AI507" s="52"/>
    </row>
    <row r="508" spans="1:35" ht="15.7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49"/>
      <c r="AB508" s="52"/>
      <c r="AC508" s="52"/>
      <c r="AD508" s="52"/>
      <c r="AE508" s="52"/>
      <c r="AF508" s="52"/>
      <c r="AG508" s="52"/>
      <c r="AH508" s="52"/>
      <c r="AI508" s="52"/>
    </row>
    <row r="509" spans="1:35" ht="15.7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49"/>
      <c r="AB509" s="52"/>
      <c r="AC509" s="52"/>
      <c r="AD509" s="52"/>
      <c r="AE509" s="52"/>
      <c r="AF509" s="52"/>
      <c r="AG509" s="52"/>
      <c r="AH509" s="52"/>
      <c r="AI509" s="52"/>
    </row>
    <row r="510" spans="1:35" ht="15.7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49"/>
      <c r="AB510" s="52"/>
      <c r="AC510" s="52"/>
      <c r="AD510" s="52"/>
      <c r="AE510" s="52"/>
      <c r="AF510" s="52"/>
      <c r="AG510" s="52"/>
      <c r="AH510" s="52"/>
      <c r="AI510" s="52"/>
    </row>
    <row r="511" spans="1:35" ht="15.7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49"/>
      <c r="AB511" s="52"/>
      <c r="AC511" s="52"/>
      <c r="AD511" s="52"/>
      <c r="AE511" s="52"/>
      <c r="AF511" s="52"/>
      <c r="AG511" s="52"/>
      <c r="AH511" s="52"/>
      <c r="AI511" s="52"/>
    </row>
    <row r="512" spans="1:35" ht="15.7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49"/>
      <c r="AB512" s="52"/>
      <c r="AC512" s="52"/>
      <c r="AD512" s="52"/>
      <c r="AE512" s="52"/>
      <c r="AF512" s="52"/>
      <c r="AG512" s="52"/>
      <c r="AH512" s="52"/>
      <c r="AI512" s="52"/>
    </row>
    <row r="513" spans="1:35" ht="15.7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49"/>
      <c r="AB513" s="52"/>
      <c r="AC513" s="52"/>
      <c r="AD513" s="52"/>
      <c r="AE513" s="52"/>
      <c r="AF513" s="52"/>
      <c r="AG513" s="52"/>
      <c r="AH513" s="52"/>
      <c r="AI513" s="52"/>
    </row>
    <row r="514" spans="1:35" ht="15.7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49"/>
      <c r="AB514" s="52"/>
      <c r="AC514" s="52"/>
      <c r="AD514" s="52"/>
      <c r="AE514" s="52"/>
      <c r="AF514" s="52"/>
      <c r="AG514" s="52"/>
      <c r="AH514" s="52"/>
      <c r="AI514" s="52"/>
    </row>
    <row r="515" spans="1:35" ht="15.7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49"/>
      <c r="AB515" s="52"/>
      <c r="AC515" s="52"/>
      <c r="AD515" s="52"/>
      <c r="AE515" s="52"/>
      <c r="AF515" s="52"/>
      <c r="AG515" s="52"/>
      <c r="AH515" s="52"/>
      <c r="AI515" s="52"/>
    </row>
    <row r="516" spans="1:35" ht="15.7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49"/>
      <c r="AB516" s="52"/>
      <c r="AC516" s="52"/>
      <c r="AD516" s="52"/>
      <c r="AE516" s="52"/>
      <c r="AF516" s="52"/>
      <c r="AG516" s="52"/>
      <c r="AH516" s="52"/>
      <c r="AI516" s="52"/>
    </row>
    <row r="517" spans="1:35" ht="15.7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49"/>
      <c r="AB517" s="52"/>
      <c r="AC517" s="52"/>
      <c r="AD517" s="52"/>
      <c r="AE517" s="52"/>
      <c r="AF517" s="52"/>
      <c r="AG517" s="52"/>
      <c r="AH517" s="52"/>
      <c r="AI517" s="52"/>
    </row>
    <row r="518" spans="1:35" ht="15.7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49"/>
      <c r="AB518" s="52"/>
      <c r="AC518" s="52"/>
      <c r="AD518" s="52"/>
      <c r="AE518" s="52"/>
      <c r="AF518" s="52"/>
      <c r="AG518" s="52"/>
      <c r="AH518" s="52"/>
      <c r="AI518" s="52"/>
    </row>
    <row r="519" spans="1:35" ht="15.7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49"/>
      <c r="AB519" s="52"/>
      <c r="AC519" s="52"/>
      <c r="AD519" s="52"/>
      <c r="AE519" s="52"/>
      <c r="AF519" s="52"/>
      <c r="AG519" s="52"/>
      <c r="AH519" s="52"/>
      <c r="AI519" s="52"/>
    </row>
    <row r="520" spans="1:35" ht="15.7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49"/>
      <c r="AB520" s="52"/>
      <c r="AC520" s="52"/>
      <c r="AD520" s="52"/>
      <c r="AE520" s="52"/>
      <c r="AF520" s="52"/>
      <c r="AG520" s="52"/>
      <c r="AH520" s="52"/>
      <c r="AI520" s="52"/>
    </row>
    <row r="521" spans="1:35" ht="15.7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49"/>
      <c r="AB521" s="52"/>
      <c r="AC521" s="52"/>
      <c r="AD521" s="52"/>
      <c r="AE521" s="52"/>
      <c r="AF521" s="52"/>
      <c r="AG521" s="52"/>
      <c r="AH521" s="52"/>
      <c r="AI521" s="52"/>
    </row>
    <row r="522" spans="1:35" ht="15.7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49"/>
      <c r="AB522" s="52"/>
      <c r="AC522" s="52"/>
      <c r="AD522" s="52"/>
      <c r="AE522" s="52"/>
      <c r="AF522" s="52"/>
      <c r="AG522" s="52"/>
      <c r="AH522" s="52"/>
      <c r="AI522" s="52"/>
    </row>
    <row r="523" spans="1:35" ht="15.7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49"/>
      <c r="AB523" s="52"/>
      <c r="AC523" s="52"/>
      <c r="AD523" s="52"/>
      <c r="AE523" s="52"/>
      <c r="AF523" s="52"/>
      <c r="AG523" s="52"/>
      <c r="AH523" s="52"/>
      <c r="AI523" s="52"/>
    </row>
    <row r="524" spans="1:35" ht="15.7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49"/>
      <c r="AB524" s="52"/>
      <c r="AC524" s="52"/>
      <c r="AD524" s="52"/>
      <c r="AE524" s="52"/>
      <c r="AF524" s="52"/>
      <c r="AG524" s="52"/>
      <c r="AH524" s="52"/>
      <c r="AI524" s="52"/>
    </row>
    <row r="525" spans="1:35" ht="15.7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49"/>
      <c r="AB525" s="52"/>
      <c r="AC525" s="52"/>
      <c r="AD525" s="52"/>
      <c r="AE525" s="52"/>
      <c r="AF525" s="52"/>
      <c r="AG525" s="52"/>
      <c r="AH525" s="52"/>
      <c r="AI525" s="52"/>
    </row>
    <row r="526" spans="1:35" ht="15.7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49"/>
      <c r="AB526" s="52"/>
      <c r="AC526" s="52"/>
      <c r="AD526" s="52"/>
      <c r="AE526" s="52"/>
      <c r="AF526" s="52"/>
      <c r="AG526" s="52"/>
      <c r="AH526" s="52"/>
      <c r="AI526" s="52"/>
    </row>
    <row r="527" spans="1:35" ht="15.7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49"/>
      <c r="AB527" s="52"/>
      <c r="AC527" s="52"/>
      <c r="AD527" s="52"/>
      <c r="AE527" s="52"/>
      <c r="AF527" s="52"/>
      <c r="AG527" s="52"/>
      <c r="AH527" s="52"/>
      <c r="AI527" s="52"/>
    </row>
    <row r="528" spans="1:35" ht="15.7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49"/>
      <c r="AB528" s="52"/>
      <c r="AC528" s="52"/>
      <c r="AD528" s="52"/>
      <c r="AE528" s="52"/>
      <c r="AF528" s="52"/>
      <c r="AG528" s="52"/>
      <c r="AH528" s="52"/>
      <c r="AI528" s="52"/>
    </row>
    <row r="529" spans="1:35" ht="15.7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49"/>
      <c r="AB529" s="52"/>
      <c r="AC529" s="52"/>
      <c r="AD529" s="52"/>
      <c r="AE529" s="52"/>
      <c r="AF529" s="52"/>
      <c r="AG529" s="52"/>
      <c r="AH529" s="52"/>
      <c r="AI529" s="52"/>
    </row>
    <row r="530" spans="1:35" ht="15.7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49"/>
      <c r="AB530" s="52"/>
      <c r="AC530" s="52"/>
      <c r="AD530" s="52"/>
      <c r="AE530" s="52"/>
      <c r="AF530" s="52"/>
      <c r="AG530" s="52"/>
      <c r="AH530" s="52"/>
      <c r="AI530" s="52"/>
    </row>
    <row r="531" spans="1:35" ht="15.7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49"/>
      <c r="AB531" s="52"/>
      <c r="AC531" s="52"/>
      <c r="AD531" s="52"/>
      <c r="AE531" s="52"/>
      <c r="AF531" s="52"/>
      <c r="AG531" s="52"/>
      <c r="AH531" s="52"/>
      <c r="AI531" s="52"/>
    </row>
    <row r="532" spans="1:35" ht="15.7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49"/>
      <c r="AB532" s="52"/>
      <c r="AC532" s="52"/>
      <c r="AD532" s="52"/>
      <c r="AE532" s="52"/>
      <c r="AF532" s="52"/>
      <c r="AG532" s="52"/>
      <c r="AH532" s="52"/>
      <c r="AI532" s="52"/>
    </row>
    <row r="533" spans="1:35" ht="15.7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49"/>
      <c r="AB533" s="52"/>
      <c r="AC533" s="52"/>
      <c r="AD533" s="52"/>
      <c r="AE533" s="52"/>
      <c r="AF533" s="52"/>
      <c r="AG533" s="52"/>
      <c r="AH533" s="52"/>
      <c r="AI533" s="52"/>
    </row>
    <row r="534" spans="1:35" ht="15.7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49"/>
      <c r="AB534" s="52"/>
      <c r="AC534" s="52"/>
      <c r="AD534" s="52"/>
      <c r="AE534" s="52"/>
      <c r="AF534" s="52"/>
      <c r="AG534" s="52"/>
      <c r="AH534" s="52"/>
      <c r="AI534" s="52"/>
    </row>
    <row r="535" spans="1:35" ht="15.7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49"/>
      <c r="AB535" s="52"/>
      <c r="AC535" s="52"/>
      <c r="AD535" s="52"/>
      <c r="AE535" s="52"/>
      <c r="AF535" s="52"/>
      <c r="AG535" s="52"/>
      <c r="AH535" s="52"/>
      <c r="AI535" s="52"/>
    </row>
    <row r="536" spans="1:35" ht="15.7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49"/>
      <c r="AB536" s="52"/>
      <c r="AC536" s="52"/>
      <c r="AD536" s="52"/>
      <c r="AE536" s="52"/>
      <c r="AF536" s="52"/>
      <c r="AG536" s="52"/>
      <c r="AH536" s="52"/>
      <c r="AI536" s="52"/>
    </row>
    <row r="537" spans="1:35" ht="15.7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49"/>
      <c r="AB537" s="52"/>
      <c r="AC537" s="52"/>
      <c r="AD537" s="52"/>
      <c r="AE537" s="52"/>
      <c r="AF537" s="52"/>
      <c r="AG537" s="52"/>
      <c r="AH537" s="52"/>
      <c r="AI537" s="52"/>
    </row>
    <row r="538" spans="1:35" ht="15.7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49"/>
      <c r="AB538" s="52"/>
      <c r="AC538" s="52"/>
      <c r="AD538" s="52"/>
      <c r="AE538" s="52"/>
      <c r="AF538" s="52"/>
      <c r="AG538" s="52"/>
      <c r="AH538" s="52"/>
      <c r="AI538" s="52"/>
    </row>
    <row r="539" spans="1:35" ht="15.7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49"/>
      <c r="AB539" s="52"/>
      <c r="AC539" s="52"/>
      <c r="AD539" s="52"/>
      <c r="AE539" s="52"/>
      <c r="AF539" s="52"/>
      <c r="AG539" s="52"/>
      <c r="AH539" s="52"/>
      <c r="AI539" s="52"/>
    </row>
    <row r="540" spans="1:35" ht="15.7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49"/>
      <c r="AB540" s="52"/>
      <c r="AC540" s="52"/>
      <c r="AD540" s="52"/>
      <c r="AE540" s="52"/>
      <c r="AF540" s="52"/>
      <c r="AG540" s="52"/>
      <c r="AH540" s="52"/>
      <c r="AI540" s="52"/>
    </row>
    <row r="541" spans="1:35" ht="15.7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49"/>
      <c r="AB541" s="52"/>
      <c r="AC541" s="52"/>
      <c r="AD541" s="52"/>
      <c r="AE541" s="52"/>
      <c r="AF541" s="52"/>
      <c r="AG541" s="52"/>
      <c r="AH541" s="52"/>
      <c r="AI541" s="52"/>
    </row>
    <row r="542" spans="1:35" ht="15.7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49"/>
      <c r="AB542" s="52"/>
      <c r="AC542" s="52"/>
      <c r="AD542" s="52"/>
      <c r="AE542" s="52"/>
      <c r="AF542" s="52"/>
      <c r="AG542" s="52"/>
      <c r="AH542" s="52"/>
      <c r="AI542" s="52"/>
    </row>
    <row r="543" spans="1:35" ht="15.7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49"/>
      <c r="AB543" s="52"/>
      <c r="AC543" s="52"/>
      <c r="AD543" s="52"/>
      <c r="AE543" s="52"/>
      <c r="AF543" s="52"/>
      <c r="AG543" s="52"/>
      <c r="AH543" s="52"/>
      <c r="AI543" s="52"/>
    </row>
    <row r="544" spans="1:35" ht="15.7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49"/>
      <c r="AB544" s="52"/>
      <c r="AC544" s="52"/>
      <c r="AD544" s="52"/>
      <c r="AE544" s="52"/>
      <c r="AF544" s="52"/>
      <c r="AG544" s="52"/>
      <c r="AH544" s="52"/>
      <c r="AI544" s="52"/>
    </row>
    <row r="545" spans="1:35" ht="15.7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49"/>
      <c r="AB545" s="52"/>
      <c r="AC545" s="52"/>
      <c r="AD545" s="52"/>
      <c r="AE545" s="52"/>
      <c r="AF545" s="52"/>
      <c r="AG545" s="52"/>
      <c r="AH545" s="52"/>
      <c r="AI545" s="52"/>
    </row>
    <row r="546" spans="1:35" ht="15.7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49"/>
      <c r="AB546" s="52"/>
      <c r="AC546" s="52"/>
      <c r="AD546" s="52"/>
      <c r="AE546" s="52"/>
      <c r="AF546" s="52"/>
      <c r="AG546" s="52"/>
      <c r="AH546" s="52"/>
      <c r="AI546" s="52"/>
    </row>
    <row r="547" spans="1:35" ht="15.7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49"/>
      <c r="AB547" s="52"/>
      <c r="AC547" s="52"/>
      <c r="AD547" s="52"/>
      <c r="AE547" s="52"/>
      <c r="AF547" s="52"/>
      <c r="AG547" s="52"/>
      <c r="AH547" s="52"/>
      <c r="AI547" s="52"/>
    </row>
    <row r="548" spans="1:35" ht="15.7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49"/>
      <c r="AB548" s="52"/>
      <c r="AC548" s="52"/>
      <c r="AD548" s="52"/>
      <c r="AE548" s="52"/>
      <c r="AF548" s="52"/>
      <c r="AG548" s="52"/>
      <c r="AH548" s="52"/>
      <c r="AI548" s="52"/>
    </row>
    <row r="549" spans="1:35" ht="15.7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49"/>
      <c r="AB549" s="52"/>
      <c r="AC549" s="52"/>
      <c r="AD549" s="52"/>
      <c r="AE549" s="52"/>
      <c r="AF549" s="52"/>
      <c r="AG549" s="52"/>
      <c r="AH549" s="52"/>
      <c r="AI549" s="52"/>
    </row>
    <row r="550" spans="1:35" ht="15.7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49"/>
      <c r="AB550" s="52"/>
      <c r="AC550" s="52"/>
      <c r="AD550" s="52"/>
      <c r="AE550" s="52"/>
      <c r="AF550" s="52"/>
      <c r="AG550" s="52"/>
      <c r="AH550" s="52"/>
      <c r="AI550" s="52"/>
    </row>
    <row r="551" spans="1:35" ht="15.7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49"/>
      <c r="AB551" s="52"/>
      <c r="AC551" s="52"/>
      <c r="AD551" s="52"/>
      <c r="AE551" s="52"/>
      <c r="AF551" s="52"/>
      <c r="AG551" s="52"/>
      <c r="AH551" s="52"/>
      <c r="AI551" s="52"/>
    </row>
    <row r="552" spans="1:35" ht="15.7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49"/>
      <c r="AB552" s="52"/>
      <c r="AC552" s="52"/>
      <c r="AD552" s="52"/>
      <c r="AE552" s="52"/>
      <c r="AF552" s="52"/>
      <c r="AG552" s="52"/>
      <c r="AH552" s="52"/>
      <c r="AI552" s="52"/>
    </row>
    <row r="553" spans="1:35" ht="15.7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49"/>
      <c r="AB553" s="52"/>
      <c r="AC553" s="52"/>
      <c r="AD553" s="52"/>
      <c r="AE553" s="52"/>
      <c r="AF553" s="52"/>
      <c r="AG553" s="52"/>
      <c r="AH553" s="52"/>
      <c r="AI553" s="52"/>
    </row>
    <row r="554" spans="1:35" ht="15.7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49"/>
      <c r="AB554" s="52"/>
      <c r="AC554" s="52"/>
      <c r="AD554" s="52"/>
      <c r="AE554" s="52"/>
      <c r="AF554" s="52"/>
      <c r="AG554" s="52"/>
      <c r="AH554" s="52"/>
      <c r="AI554" s="52"/>
    </row>
    <row r="555" spans="1:35" ht="15.7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49"/>
      <c r="AB555" s="52"/>
      <c r="AC555" s="52"/>
      <c r="AD555" s="52"/>
      <c r="AE555" s="52"/>
      <c r="AF555" s="52"/>
      <c r="AG555" s="52"/>
      <c r="AH555" s="52"/>
      <c r="AI555" s="52"/>
    </row>
    <row r="556" spans="1:35" ht="15.7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49"/>
      <c r="AB556" s="52"/>
      <c r="AC556" s="52"/>
      <c r="AD556" s="52"/>
      <c r="AE556" s="52"/>
      <c r="AF556" s="52"/>
      <c r="AG556" s="52"/>
      <c r="AH556" s="52"/>
      <c r="AI556" s="52"/>
    </row>
    <row r="557" spans="1:35" ht="15.7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49"/>
      <c r="AB557" s="52"/>
      <c r="AC557" s="52"/>
      <c r="AD557" s="52"/>
      <c r="AE557" s="52"/>
      <c r="AF557" s="52"/>
      <c r="AG557" s="52"/>
      <c r="AH557" s="52"/>
      <c r="AI557" s="52"/>
    </row>
    <row r="558" spans="1:35" ht="15.7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49"/>
      <c r="AB558" s="52"/>
      <c r="AC558" s="52"/>
      <c r="AD558" s="52"/>
      <c r="AE558" s="52"/>
      <c r="AF558" s="52"/>
      <c r="AG558" s="52"/>
      <c r="AH558" s="52"/>
      <c r="AI558" s="52"/>
    </row>
    <row r="559" spans="1:35" ht="15.7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49"/>
      <c r="AB559" s="52"/>
      <c r="AC559" s="52"/>
      <c r="AD559" s="52"/>
      <c r="AE559" s="52"/>
      <c r="AF559" s="52"/>
      <c r="AG559" s="52"/>
      <c r="AH559" s="52"/>
      <c r="AI559" s="52"/>
    </row>
    <row r="560" spans="1:35" ht="15.7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49"/>
      <c r="AB560" s="52"/>
      <c r="AC560" s="52"/>
      <c r="AD560" s="52"/>
      <c r="AE560" s="52"/>
      <c r="AF560" s="52"/>
      <c r="AG560" s="52"/>
      <c r="AH560" s="52"/>
      <c r="AI560" s="52"/>
    </row>
    <row r="561" spans="1:35" ht="15.7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49"/>
      <c r="AB561" s="52"/>
      <c r="AC561" s="52"/>
      <c r="AD561" s="52"/>
      <c r="AE561" s="52"/>
      <c r="AF561" s="52"/>
      <c r="AG561" s="52"/>
      <c r="AH561" s="52"/>
      <c r="AI561" s="52"/>
    </row>
    <row r="562" spans="1:35" ht="15.7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49"/>
      <c r="AB562" s="52"/>
      <c r="AC562" s="52"/>
      <c r="AD562" s="52"/>
      <c r="AE562" s="52"/>
      <c r="AF562" s="52"/>
      <c r="AG562" s="52"/>
      <c r="AH562" s="52"/>
      <c r="AI562" s="52"/>
    </row>
    <row r="563" spans="1:35" ht="15.7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49"/>
      <c r="AB563" s="52"/>
      <c r="AC563" s="52"/>
      <c r="AD563" s="52"/>
      <c r="AE563" s="52"/>
      <c r="AF563" s="52"/>
      <c r="AG563" s="52"/>
      <c r="AH563" s="52"/>
      <c r="AI563" s="52"/>
    </row>
    <row r="564" spans="1:35" ht="15.7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49"/>
      <c r="AB564" s="52"/>
      <c r="AC564" s="52"/>
      <c r="AD564" s="52"/>
      <c r="AE564" s="52"/>
      <c r="AF564" s="52"/>
      <c r="AG564" s="52"/>
      <c r="AH564" s="52"/>
      <c r="AI564" s="52"/>
    </row>
    <row r="565" spans="1:35" ht="15.7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49"/>
      <c r="AB565" s="52"/>
      <c r="AC565" s="52"/>
      <c r="AD565" s="52"/>
      <c r="AE565" s="52"/>
      <c r="AF565" s="52"/>
      <c r="AG565" s="52"/>
      <c r="AH565" s="52"/>
      <c r="AI565" s="52"/>
    </row>
    <row r="566" spans="1:35" ht="15.7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49"/>
      <c r="AB566" s="52"/>
      <c r="AC566" s="52"/>
      <c r="AD566" s="52"/>
      <c r="AE566" s="52"/>
      <c r="AF566" s="52"/>
      <c r="AG566" s="52"/>
      <c r="AH566" s="52"/>
      <c r="AI566" s="52"/>
    </row>
    <row r="567" spans="1:35" ht="15.7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49"/>
      <c r="AB567" s="52"/>
      <c r="AC567" s="52"/>
      <c r="AD567" s="52"/>
      <c r="AE567" s="52"/>
      <c r="AF567" s="52"/>
      <c r="AG567" s="52"/>
      <c r="AH567" s="52"/>
      <c r="AI567" s="52"/>
    </row>
    <row r="568" spans="1:35" ht="15.7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49"/>
      <c r="AB568" s="52"/>
      <c r="AC568" s="52"/>
      <c r="AD568" s="52"/>
      <c r="AE568" s="52"/>
      <c r="AF568" s="52"/>
      <c r="AG568" s="52"/>
      <c r="AH568" s="52"/>
      <c r="AI568" s="52"/>
    </row>
    <row r="569" spans="1:35" ht="15.7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49"/>
      <c r="AB569" s="52"/>
      <c r="AC569" s="52"/>
      <c r="AD569" s="52"/>
      <c r="AE569" s="52"/>
      <c r="AF569" s="52"/>
      <c r="AG569" s="52"/>
      <c r="AH569" s="52"/>
      <c r="AI569" s="52"/>
    </row>
    <row r="570" spans="1:35" ht="15.7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49"/>
      <c r="AB570" s="52"/>
      <c r="AC570" s="52"/>
      <c r="AD570" s="52"/>
      <c r="AE570" s="52"/>
      <c r="AF570" s="52"/>
      <c r="AG570" s="52"/>
      <c r="AH570" s="52"/>
      <c r="AI570" s="52"/>
    </row>
    <row r="571" spans="1:35" ht="15.7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49"/>
      <c r="AB571" s="52"/>
      <c r="AC571" s="52"/>
      <c r="AD571" s="52"/>
      <c r="AE571" s="52"/>
      <c r="AF571" s="52"/>
      <c r="AG571" s="52"/>
      <c r="AH571" s="52"/>
      <c r="AI571" s="52"/>
    </row>
    <row r="572" spans="1:35" ht="15.7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49"/>
      <c r="AB572" s="52"/>
      <c r="AC572" s="52"/>
      <c r="AD572" s="52"/>
      <c r="AE572" s="52"/>
      <c r="AF572" s="52"/>
      <c r="AG572" s="52"/>
      <c r="AH572" s="52"/>
      <c r="AI572" s="52"/>
    </row>
    <row r="573" spans="1:35" ht="15.7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49"/>
      <c r="AB573" s="52"/>
      <c r="AC573" s="52"/>
      <c r="AD573" s="52"/>
      <c r="AE573" s="52"/>
      <c r="AF573" s="52"/>
      <c r="AG573" s="52"/>
      <c r="AH573" s="52"/>
      <c r="AI573" s="52"/>
    </row>
    <row r="574" spans="1:35" ht="15.7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49"/>
      <c r="AB574" s="52"/>
      <c r="AC574" s="52"/>
      <c r="AD574" s="52"/>
      <c r="AE574" s="52"/>
      <c r="AF574" s="52"/>
      <c r="AG574" s="52"/>
      <c r="AH574" s="52"/>
      <c r="AI574" s="52"/>
    </row>
    <row r="575" spans="1:35" ht="15.7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49"/>
      <c r="AB575" s="52"/>
      <c r="AC575" s="52"/>
      <c r="AD575" s="52"/>
      <c r="AE575" s="52"/>
      <c r="AF575" s="52"/>
      <c r="AG575" s="52"/>
      <c r="AH575" s="52"/>
      <c r="AI575" s="52"/>
    </row>
    <row r="576" spans="1:35" ht="15.7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49"/>
      <c r="AB576" s="52"/>
      <c r="AC576" s="52"/>
      <c r="AD576" s="52"/>
      <c r="AE576" s="52"/>
      <c r="AF576" s="52"/>
      <c r="AG576" s="52"/>
      <c r="AH576" s="52"/>
      <c r="AI576" s="52"/>
    </row>
    <row r="577" spans="1:35" ht="15.7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49"/>
      <c r="AB577" s="52"/>
      <c r="AC577" s="52"/>
      <c r="AD577" s="52"/>
      <c r="AE577" s="52"/>
      <c r="AF577" s="52"/>
      <c r="AG577" s="52"/>
      <c r="AH577" s="52"/>
      <c r="AI577" s="52"/>
    </row>
    <row r="578" spans="1:35" ht="15.7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49"/>
      <c r="AB578" s="52"/>
      <c r="AC578" s="52"/>
      <c r="AD578" s="52"/>
      <c r="AE578" s="52"/>
      <c r="AF578" s="52"/>
      <c r="AG578" s="52"/>
      <c r="AH578" s="52"/>
      <c r="AI578" s="52"/>
    </row>
    <row r="579" spans="1:35" ht="15.7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49"/>
      <c r="AB579" s="52"/>
      <c r="AC579" s="52"/>
      <c r="AD579" s="52"/>
      <c r="AE579" s="52"/>
      <c r="AF579" s="52"/>
      <c r="AG579" s="52"/>
      <c r="AH579" s="52"/>
      <c r="AI579" s="52"/>
    </row>
    <row r="580" spans="1:35" ht="15.7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49"/>
      <c r="AB580" s="52"/>
      <c r="AC580" s="52"/>
      <c r="AD580" s="52"/>
      <c r="AE580" s="52"/>
      <c r="AF580" s="52"/>
      <c r="AG580" s="52"/>
      <c r="AH580" s="52"/>
      <c r="AI580" s="52"/>
    </row>
    <row r="581" spans="1:35" ht="15.7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49"/>
      <c r="AB581" s="52"/>
      <c r="AC581" s="52"/>
      <c r="AD581" s="52"/>
      <c r="AE581" s="52"/>
      <c r="AF581" s="52"/>
      <c r="AG581" s="52"/>
      <c r="AH581" s="52"/>
      <c r="AI581" s="52"/>
    </row>
    <row r="582" spans="1:35" ht="15.7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49"/>
      <c r="AB582" s="52"/>
      <c r="AC582" s="52"/>
      <c r="AD582" s="52"/>
      <c r="AE582" s="52"/>
      <c r="AF582" s="52"/>
      <c r="AG582" s="52"/>
      <c r="AH582" s="52"/>
      <c r="AI582" s="52"/>
    </row>
    <row r="583" spans="1:35" ht="15.7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49"/>
      <c r="AB583" s="52"/>
      <c r="AC583" s="52"/>
      <c r="AD583" s="52"/>
      <c r="AE583" s="52"/>
      <c r="AF583" s="52"/>
      <c r="AG583" s="52"/>
      <c r="AH583" s="52"/>
      <c r="AI583" s="52"/>
    </row>
    <row r="584" spans="1:35" ht="15.7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49"/>
      <c r="AB584" s="52"/>
      <c r="AC584" s="52"/>
      <c r="AD584" s="52"/>
      <c r="AE584" s="52"/>
      <c r="AF584" s="52"/>
      <c r="AG584" s="52"/>
      <c r="AH584" s="52"/>
      <c r="AI584" s="52"/>
    </row>
    <row r="585" spans="1:35" ht="15.7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49"/>
      <c r="AB585" s="52"/>
      <c r="AC585" s="52"/>
      <c r="AD585" s="52"/>
      <c r="AE585" s="52"/>
      <c r="AF585" s="52"/>
      <c r="AG585" s="52"/>
      <c r="AH585" s="52"/>
      <c r="AI585" s="52"/>
    </row>
    <row r="586" spans="1:35" ht="15.7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49"/>
      <c r="AB586" s="52"/>
      <c r="AC586" s="52"/>
      <c r="AD586" s="52"/>
      <c r="AE586" s="52"/>
      <c r="AF586" s="52"/>
      <c r="AG586" s="52"/>
      <c r="AH586" s="52"/>
      <c r="AI586" s="52"/>
    </row>
    <row r="587" spans="1:35" ht="15.7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49"/>
      <c r="AB587" s="52"/>
      <c r="AC587" s="52"/>
      <c r="AD587" s="52"/>
      <c r="AE587" s="52"/>
      <c r="AF587" s="52"/>
      <c r="AG587" s="52"/>
      <c r="AH587" s="52"/>
      <c r="AI587" s="52"/>
    </row>
    <row r="588" spans="1:35" ht="15.7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49"/>
      <c r="AB588" s="52"/>
      <c r="AC588" s="52"/>
      <c r="AD588" s="52"/>
      <c r="AE588" s="52"/>
      <c r="AF588" s="52"/>
      <c r="AG588" s="52"/>
      <c r="AH588" s="52"/>
      <c r="AI588" s="52"/>
    </row>
    <row r="589" spans="1:35" ht="15.7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49"/>
      <c r="AB589" s="52"/>
      <c r="AC589" s="52"/>
      <c r="AD589" s="52"/>
      <c r="AE589" s="52"/>
      <c r="AF589" s="52"/>
      <c r="AG589" s="52"/>
      <c r="AH589" s="52"/>
      <c r="AI589" s="52"/>
    </row>
    <row r="590" spans="1:35" ht="15.7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49"/>
      <c r="AB590" s="52"/>
      <c r="AC590" s="52"/>
      <c r="AD590" s="52"/>
      <c r="AE590" s="52"/>
      <c r="AF590" s="52"/>
      <c r="AG590" s="52"/>
      <c r="AH590" s="52"/>
      <c r="AI590" s="52"/>
    </row>
    <row r="591" spans="1:35" ht="15.7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49"/>
      <c r="AB591" s="52"/>
      <c r="AC591" s="52"/>
      <c r="AD591" s="52"/>
      <c r="AE591" s="52"/>
      <c r="AF591" s="52"/>
      <c r="AG591" s="52"/>
      <c r="AH591" s="52"/>
      <c r="AI591" s="52"/>
    </row>
    <row r="592" spans="1:35" ht="15.7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49"/>
      <c r="AB592" s="52"/>
      <c r="AC592" s="52"/>
      <c r="AD592" s="52"/>
      <c r="AE592" s="52"/>
      <c r="AF592" s="52"/>
      <c r="AG592" s="52"/>
      <c r="AH592" s="52"/>
      <c r="AI592" s="52"/>
    </row>
    <row r="593" spans="1:35" ht="15.7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49"/>
      <c r="AB593" s="52"/>
      <c r="AC593" s="52"/>
      <c r="AD593" s="52"/>
      <c r="AE593" s="52"/>
      <c r="AF593" s="52"/>
      <c r="AG593" s="52"/>
      <c r="AH593" s="52"/>
      <c r="AI593" s="52"/>
    </row>
    <row r="594" spans="1:35" ht="15.7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49"/>
      <c r="AB594" s="52"/>
      <c r="AC594" s="52"/>
      <c r="AD594" s="52"/>
      <c r="AE594" s="52"/>
      <c r="AF594" s="52"/>
      <c r="AG594" s="52"/>
      <c r="AH594" s="52"/>
      <c r="AI594" s="52"/>
    </row>
    <row r="595" spans="1:35" ht="15.7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49"/>
      <c r="AB595" s="52"/>
      <c r="AC595" s="52"/>
      <c r="AD595" s="52"/>
      <c r="AE595" s="52"/>
      <c r="AF595" s="52"/>
      <c r="AG595" s="52"/>
      <c r="AH595" s="52"/>
      <c r="AI595" s="52"/>
    </row>
    <row r="596" spans="1:35" ht="15.7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49"/>
      <c r="AB596" s="52"/>
      <c r="AC596" s="52"/>
      <c r="AD596" s="52"/>
      <c r="AE596" s="52"/>
      <c r="AF596" s="52"/>
      <c r="AG596" s="52"/>
      <c r="AH596" s="52"/>
      <c r="AI596" s="52"/>
    </row>
    <row r="597" spans="1:35" ht="15.7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49"/>
      <c r="AB597" s="52"/>
      <c r="AC597" s="52"/>
      <c r="AD597" s="52"/>
      <c r="AE597" s="52"/>
      <c r="AF597" s="52"/>
      <c r="AG597" s="52"/>
      <c r="AH597" s="52"/>
      <c r="AI597" s="52"/>
    </row>
    <row r="598" spans="1:35" ht="15.7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49"/>
      <c r="AB598" s="52"/>
      <c r="AC598" s="52"/>
      <c r="AD598" s="52"/>
      <c r="AE598" s="52"/>
      <c r="AF598" s="52"/>
      <c r="AG598" s="52"/>
      <c r="AH598" s="52"/>
      <c r="AI598" s="52"/>
    </row>
    <row r="599" spans="1:35" ht="15.7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49"/>
      <c r="AB599" s="52"/>
      <c r="AC599" s="52"/>
      <c r="AD599" s="52"/>
      <c r="AE599" s="52"/>
      <c r="AF599" s="52"/>
      <c r="AG599" s="52"/>
      <c r="AH599" s="52"/>
      <c r="AI599" s="52"/>
    </row>
    <row r="600" spans="1:35" ht="15.7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49"/>
      <c r="AB600" s="52"/>
      <c r="AC600" s="52"/>
      <c r="AD600" s="52"/>
      <c r="AE600" s="52"/>
      <c r="AF600" s="52"/>
      <c r="AG600" s="52"/>
      <c r="AH600" s="52"/>
      <c r="AI600" s="52"/>
    </row>
    <row r="601" spans="1:35" ht="15.7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49"/>
      <c r="AB601" s="52"/>
      <c r="AC601" s="52"/>
      <c r="AD601" s="52"/>
      <c r="AE601" s="52"/>
      <c r="AF601" s="52"/>
      <c r="AG601" s="52"/>
      <c r="AH601" s="52"/>
      <c r="AI601" s="52"/>
    </row>
    <row r="602" spans="1:35" ht="15.7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49"/>
      <c r="AB602" s="52"/>
      <c r="AC602" s="52"/>
      <c r="AD602" s="52"/>
      <c r="AE602" s="52"/>
      <c r="AF602" s="52"/>
      <c r="AG602" s="52"/>
      <c r="AH602" s="52"/>
      <c r="AI602" s="52"/>
    </row>
    <row r="603" spans="1:35" ht="15.7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49"/>
      <c r="AB603" s="52"/>
      <c r="AC603" s="52"/>
      <c r="AD603" s="52"/>
      <c r="AE603" s="52"/>
      <c r="AF603" s="52"/>
      <c r="AG603" s="52"/>
      <c r="AH603" s="52"/>
      <c r="AI603" s="52"/>
    </row>
    <row r="604" spans="1:35" ht="15.7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49"/>
      <c r="AB604" s="52"/>
      <c r="AC604" s="52"/>
      <c r="AD604" s="52"/>
      <c r="AE604" s="52"/>
      <c r="AF604" s="52"/>
      <c r="AG604" s="52"/>
      <c r="AH604" s="52"/>
      <c r="AI604" s="52"/>
    </row>
    <row r="605" spans="1:35" ht="15.7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49"/>
      <c r="AB605" s="52"/>
      <c r="AC605" s="52"/>
      <c r="AD605" s="52"/>
      <c r="AE605" s="52"/>
      <c r="AF605" s="52"/>
      <c r="AG605" s="52"/>
      <c r="AH605" s="52"/>
      <c r="AI605" s="52"/>
    </row>
    <row r="606" spans="1:35" ht="15.7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49"/>
      <c r="AB606" s="52"/>
      <c r="AC606" s="52"/>
      <c r="AD606" s="52"/>
      <c r="AE606" s="52"/>
      <c r="AF606" s="52"/>
      <c r="AG606" s="52"/>
      <c r="AH606" s="52"/>
      <c r="AI606" s="52"/>
    </row>
    <row r="607" spans="1:35" ht="15.7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49"/>
      <c r="AB607" s="52"/>
      <c r="AC607" s="52"/>
      <c r="AD607" s="52"/>
      <c r="AE607" s="52"/>
      <c r="AF607" s="52"/>
      <c r="AG607" s="52"/>
      <c r="AH607" s="52"/>
      <c r="AI607" s="52"/>
    </row>
    <row r="608" spans="1:35" ht="15.7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49"/>
      <c r="AB608" s="52"/>
      <c r="AC608" s="52"/>
      <c r="AD608" s="52"/>
      <c r="AE608" s="52"/>
      <c r="AF608" s="52"/>
      <c r="AG608" s="52"/>
      <c r="AH608" s="52"/>
      <c r="AI608" s="52"/>
    </row>
    <row r="609" spans="1:35" ht="15.7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49"/>
      <c r="AB609" s="52"/>
      <c r="AC609" s="52"/>
      <c r="AD609" s="52"/>
      <c r="AE609" s="52"/>
      <c r="AF609" s="52"/>
      <c r="AG609" s="52"/>
      <c r="AH609" s="52"/>
      <c r="AI609" s="52"/>
    </row>
    <row r="610" spans="1:35" ht="15.7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49"/>
      <c r="AB610" s="52"/>
      <c r="AC610" s="52"/>
      <c r="AD610" s="52"/>
      <c r="AE610" s="52"/>
      <c r="AF610" s="52"/>
      <c r="AG610" s="52"/>
      <c r="AH610" s="52"/>
      <c r="AI610" s="52"/>
    </row>
    <row r="611" spans="1:35" ht="15.7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49"/>
      <c r="AB611" s="52"/>
      <c r="AC611" s="52"/>
      <c r="AD611" s="52"/>
      <c r="AE611" s="52"/>
      <c r="AF611" s="52"/>
      <c r="AG611" s="52"/>
      <c r="AH611" s="52"/>
      <c r="AI611" s="52"/>
    </row>
    <row r="612" spans="1:35" ht="15.7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49"/>
      <c r="AB612" s="52"/>
      <c r="AC612" s="52"/>
      <c r="AD612" s="52"/>
      <c r="AE612" s="52"/>
      <c r="AF612" s="52"/>
      <c r="AG612" s="52"/>
      <c r="AH612" s="52"/>
      <c r="AI612" s="52"/>
    </row>
    <row r="613" spans="1:35" ht="15.7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49"/>
      <c r="AB613" s="52"/>
      <c r="AC613" s="52"/>
      <c r="AD613" s="52"/>
      <c r="AE613" s="52"/>
      <c r="AF613" s="52"/>
      <c r="AG613" s="52"/>
      <c r="AH613" s="52"/>
      <c r="AI613" s="52"/>
    </row>
    <row r="614" spans="1:35" ht="15.7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49"/>
      <c r="AB614" s="52"/>
      <c r="AC614" s="52"/>
      <c r="AD614" s="52"/>
      <c r="AE614" s="52"/>
      <c r="AF614" s="52"/>
      <c r="AG614" s="52"/>
      <c r="AH614" s="52"/>
      <c r="AI614" s="52"/>
    </row>
    <row r="615" spans="1:35" ht="15.7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49"/>
      <c r="AB615" s="52"/>
      <c r="AC615" s="52"/>
      <c r="AD615" s="52"/>
      <c r="AE615" s="52"/>
      <c r="AF615" s="52"/>
      <c r="AG615" s="52"/>
      <c r="AH615" s="52"/>
      <c r="AI615" s="52"/>
    </row>
    <row r="616" spans="1:35" ht="15.7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49"/>
      <c r="AB616" s="52"/>
      <c r="AC616" s="52"/>
      <c r="AD616" s="52"/>
      <c r="AE616" s="52"/>
      <c r="AF616" s="52"/>
      <c r="AG616" s="52"/>
      <c r="AH616" s="52"/>
      <c r="AI616" s="52"/>
    </row>
    <row r="617" spans="1:35" ht="15.7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49"/>
      <c r="AB617" s="52"/>
      <c r="AC617" s="52"/>
      <c r="AD617" s="52"/>
      <c r="AE617" s="52"/>
      <c r="AF617" s="52"/>
      <c r="AG617" s="52"/>
      <c r="AH617" s="52"/>
      <c r="AI617" s="52"/>
    </row>
    <row r="618" spans="1:35" ht="15.7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49"/>
      <c r="AB618" s="52"/>
      <c r="AC618" s="52"/>
      <c r="AD618" s="52"/>
      <c r="AE618" s="52"/>
      <c r="AF618" s="52"/>
      <c r="AG618" s="52"/>
      <c r="AH618" s="52"/>
      <c r="AI618" s="52"/>
    </row>
    <row r="619" spans="1:35" ht="15.7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49"/>
      <c r="AB619" s="52"/>
      <c r="AC619" s="52"/>
      <c r="AD619" s="52"/>
      <c r="AE619" s="52"/>
      <c r="AF619" s="52"/>
      <c r="AG619" s="52"/>
      <c r="AH619" s="52"/>
      <c r="AI619" s="52"/>
    </row>
    <row r="620" spans="1:35" ht="15.7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49"/>
      <c r="AB620" s="52"/>
      <c r="AC620" s="52"/>
      <c r="AD620" s="52"/>
      <c r="AE620" s="52"/>
      <c r="AF620" s="52"/>
      <c r="AG620" s="52"/>
      <c r="AH620" s="52"/>
      <c r="AI620" s="52"/>
    </row>
    <row r="621" spans="1:35" ht="15.7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49"/>
      <c r="AB621" s="52"/>
      <c r="AC621" s="52"/>
      <c r="AD621" s="52"/>
      <c r="AE621" s="52"/>
      <c r="AF621" s="52"/>
      <c r="AG621" s="52"/>
      <c r="AH621" s="52"/>
      <c r="AI621" s="52"/>
    </row>
    <row r="622" spans="1:35" ht="15.7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49"/>
      <c r="AB622" s="52"/>
      <c r="AC622" s="52"/>
      <c r="AD622" s="52"/>
      <c r="AE622" s="52"/>
      <c r="AF622" s="52"/>
      <c r="AG622" s="52"/>
      <c r="AH622" s="52"/>
      <c r="AI622" s="52"/>
    </row>
    <row r="623" spans="1:35" ht="15.7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49"/>
      <c r="AB623" s="52"/>
      <c r="AC623" s="52"/>
      <c r="AD623" s="52"/>
      <c r="AE623" s="52"/>
      <c r="AF623" s="52"/>
      <c r="AG623" s="52"/>
      <c r="AH623" s="52"/>
      <c r="AI623" s="52"/>
    </row>
    <row r="624" spans="1:35" ht="15.7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49"/>
      <c r="AB624" s="52"/>
      <c r="AC624" s="52"/>
      <c r="AD624" s="52"/>
      <c r="AE624" s="52"/>
      <c r="AF624" s="52"/>
      <c r="AG624" s="52"/>
      <c r="AH624" s="52"/>
      <c r="AI624" s="52"/>
    </row>
    <row r="625" spans="1:35" ht="15.7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49"/>
      <c r="AB625" s="52"/>
      <c r="AC625" s="52"/>
      <c r="AD625" s="52"/>
      <c r="AE625" s="52"/>
      <c r="AF625" s="52"/>
      <c r="AG625" s="52"/>
      <c r="AH625" s="52"/>
      <c r="AI625" s="52"/>
    </row>
    <row r="626" spans="1:35" ht="15.7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49"/>
      <c r="AB626" s="52"/>
      <c r="AC626" s="52"/>
      <c r="AD626" s="52"/>
      <c r="AE626" s="52"/>
      <c r="AF626" s="52"/>
      <c r="AG626" s="52"/>
      <c r="AH626" s="52"/>
      <c r="AI626" s="52"/>
    </row>
    <row r="627" spans="1:35" ht="15.7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49"/>
      <c r="AB627" s="52"/>
      <c r="AC627" s="52"/>
      <c r="AD627" s="52"/>
      <c r="AE627" s="52"/>
      <c r="AF627" s="52"/>
      <c r="AG627" s="52"/>
      <c r="AH627" s="52"/>
      <c r="AI627" s="52"/>
    </row>
    <row r="628" spans="1:35" ht="15.7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49"/>
      <c r="AB628" s="52"/>
      <c r="AC628" s="52"/>
      <c r="AD628" s="52"/>
      <c r="AE628" s="52"/>
      <c r="AF628" s="52"/>
      <c r="AG628" s="52"/>
      <c r="AH628" s="52"/>
      <c r="AI628" s="52"/>
    </row>
    <row r="629" spans="1:35" ht="15.7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49"/>
      <c r="AB629" s="52"/>
      <c r="AC629" s="52"/>
      <c r="AD629" s="52"/>
      <c r="AE629" s="52"/>
      <c r="AF629" s="52"/>
      <c r="AG629" s="52"/>
      <c r="AH629" s="52"/>
      <c r="AI629" s="52"/>
    </row>
    <row r="630" spans="1:35" ht="15.7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49"/>
      <c r="AB630" s="52"/>
      <c r="AC630" s="52"/>
      <c r="AD630" s="52"/>
      <c r="AE630" s="52"/>
      <c r="AF630" s="52"/>
      <c r="AG630" s="52"/>
      <c r="AH630" s="52"/>
      <c r="AI630" s="52"/>
    </row>
    <row r="631" spans="1:35" ht="15.7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49"/>
      <c r="AB631" s="52"/>
      <c r="AC631" s="52"/>
      <c r="AD631" s="52"/>
      <c r="AE631" s="52"/>
      <c r="AF631" s="52"/>
      <c r="AG631" s="52"/>
      <c r="AH631" s="52"/>
      <c r="AI631" s="52"/>
    </row>
    <row r="632" spans="1:35" ht="15.7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49"/>
      <c r="AB632" s="52"/>
      <c r="AC632" s="52"/>
      <c r="AD632" s="52"/>
      <c r="AE632" s="52"/>
      <c r="AF632" s="52"/>
      <c r="AG632" s="52"/>
      <c r="AH632" s="52"/>
      <c r="AI632" s="52"/>
    </row>
    <row r="633" spans="1:35" ht="15.7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49"/>
      <c r="AB633" s="52"/>
      <c r="AC633" s="52"/>
      <c r="AD633" s="52"/>
      <c r="AE633" s="52"/>
      <c r="AF633" s="52"/>
      <c r="AG633" s="52"/>
      <c r="AH633" s="52"/>
      <c r="AI633" s="52"/>
    </row>
    <row r="634" spans="1:35" ht="15.7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49"/>
      <c r="AB634" s="52"/>
      <c r="AC634" s="52"/>
      <c r="AD634" s="52"/>
      <c r="AE634" s="52"/>
      <c r="AF634" s="52"/>
      <c r="AG634" s="52"/>
      <c r="AH634" s="52"/>
      <c r="AI634" s="52"/>
    </row>
    <row r="635" spans="1:35" ht="15.7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49"/>
      <c r="AB635" s="52"/>
      <c r="AC635" s="52"/>
      <c r="AD635" s="52"/>
      <c r="AE635" s="52"/>
      <c r="AF635" s="52"/>
      <c r="AG635" s="52"/>
      <c r="AH635" s="52"/>
      <c r="AI635" s="52"/>
    </row>
    <row r="636" spans="1:35" ht="15.7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49"/>
      <c r="AB636" s="52"/>
      <c r="AC636" s="52"/>
      <c r="AD636" s="52"/>
      <c r="AE636" s="52"/>
      <c r="AF636" s="52"/>
      <c r="AG636" s="52"/>
      <c r="AH636" s="52"/>
      <c r="AI636" s="52"/>
    </row>
    <row r="637" spans="1:35" ht="15.7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49"/>
      <c r="AB637" s="52"/>
      <c r="AC637" s="52"/>
      <c r="AD637" s="52"/>
      <c r="AE637" s="52"/>
      <c r="AF637" s="52"/>
      <c r="AG637" s="52"/>
      <c r="AH637" s="52"/>
      <c r="AI637" s="52"/>
    </row>
    <row r="638" spans="1:35" ht="15.7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49"/>
      <c r="AB638" s="52"/>
      <c r="AC638" s="52"/>
      <c r="AD638" s="52"/>
      <c r="AE638" s="52"/>
      <c r="AF638" s="52"/>
      <c r="AG638" s="52"/>
      <c r="AH638" s="52"/>
      <c r="AI638" s="52"/>
    </row>
    <row r="639" spans="1:35" ht="15.7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49"/>
      <c r="AB639" s="52"/>
      <c r="AC639" s="52"/>
      <c r="AD639" s="52"/>
      <c r="AE639" s="52"/>
      <c r="AF639" s="52"/>
      <c r="AG639" s="52"/>
      <c r="AH639" s="52"/>
      <c r="AI639" s="52"/>
    </row>
    <row r="640" spans="1:35" ht="15.7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49"/>
      <c r="AB640" s="52"/>
      <c r="AC640" s="52"/>
      <c r="AD640" s="52"/>
      <c r="AE640" s="52"/>
      <c r="AF640" s="52"/>
      <c r="AG640" s="52"/>
      <c r="AH640" s="52"/>
      <c r="AI640" s="52"/>
    </row>
    <row r="641" spans="1:35" ht="15.7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49"/>
      <c r="AB641" s="52"/>
      <c r="AC641" s="52"/>
      <c r="AD641" s="52"/>
      <c r="AE641" s="52"/>
      <c r="AF641" s="52"/>
      <c r="AG641" s="52"/>
      <c r="AH641" s="52"/>
      <c r="AI641" s="52"/>
    </row>
    <row r="642" spans="1:35" ht="15.7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49"/>
      <c r="AB642" s="52"/>
      <c r="AC642" s="52"/>
      <c r="AD642" s="52"/>
      <c r="AE642" s="52"/>
      <c r="AF642" s="52"/>
      <c r="AG642" s="52"/>
      <c r="AH642" s="52"/>
      <c r="AI642" s="52"/>
    </row>
    <row r="643" spans="1:35" ht="15.7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49"/>
      <c r="AB643" s="52"/>
      <c r="AC643" s="52"/>
      <c r="AD643" s="52"/>
      <c r="AE643" s="52"/>
      <c r="AF643" s="52"/>
      <c r="AG643" s="52"/>
      <c r="AH643" s="52"/>
      <c r="AI643" s="52"/>
    </row>
    <row r="644" spans="1:35" ht="15.7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49"/>
      <c r="AB644" s="52"/>
      <c r="AC644" s="52"/>
      <c r="AD644" s="52"/>
      <c r="AE644" s="52"/>
      <c r="AF644" s="52"/>
      <c r="AG644" s="52"/>
      <c r="AH644" s="52"/>
      <c r="AI644" s="52"/>
    </row>
    <row r="645" spans="1:35" ht="15.7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49"/>
      <c r="AB645" s="52"/>
      <c r="AC645" s="52"/>
      <c r="AD645" s="52"/>
      <c r="AE645" s="52"/>
      <c r="AF645" s="52"/>
      <c r="AG645" s="52"/>
      <c r="AH645" s="52"/>
      <c r="AI645" s="52"/>
    </row>
    <row r="646" spans="1:35" ht="15.7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49"/>
      <c r="AB646" s="52"/>
      <c r="AC646" s="52"/>
      <c r="AD646" s="52"/>
      <c r="AE646" s="52"/>
      <c r="AF646" s="52"/>
      <c r="AG646" s="52"/>
      <c r="AH646" s="52"/>
      <c r="AI646" s="52"/>
    </row>
    <row r="647" spans="1:35" ht="15.7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49"/>
      <c r="AB647" s="52"/>
      <c r="AC647" s="52"/>
      <c r="AD647" s="52"/>
      <c r="AE647" s="52"/>
      <c r="AF647" s="52"/>
      <c r="AG647" s="52"/>
      <c r="AH647" s="52"/>
      <c r="AI647" s="52"/>
    </row>
    <row r="648" spans="1:35" ht="15.7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49"/>
      <c r="AB648" s="52"/>
      <c r="AC648" s="52"/>
      <c r="AD648" s="52"/>
      <c r="AE648" s="52"/>
      <c r="AF648" s="52"/>
      <c r="AG648" s="52"/>
      <c r="AH648" s="52"/>
      <c r="AI648" s="52"/>
    </row>
    <row r="649" spans="1:35" ht="15.7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49"/>
      <c r="AB649" s="52"/>
      <c r="AC649" s="52"/>
      <c r="AD649" s="52"/>
      <c r="AE649" s="52"/>
      <c r="AF649" s="52"/>
      <c r="AG649" s="52"/>
      <c r="AH649" s="52"/>
      <c r="AI649" s="52"/>
    </row>
    <row r="650" spans="1:35" ht="15.7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49"/>
      <c r="AB650" s="52"/>
      <c r="AC650" s="52"/>
      <c r="AD650" s="52"/>
      <c r="AE650" s="52"/>
      <c r="AF650" s="52"/>
      <c r="AG650" s="52"/>
      <c r="AH650" s="52"/>
      <c r="AI650" s="52"/>
    </row>
    <row r="651" spans="1:35" ht="15.7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49"/>
      <c r="AB651" s="52"/>
      <c r="AC651" s="52"/>
      <c r="AD651" s="52"/>
      <c r="AE651" s="52"/>
      <c r="AF651" s="52"/>
      <c r="AG651" s="52"/>
      <c r="AH651" s="52"/>
      <c r="AI651" s="52"/>
    </row>
    <row r="652" spans="1:35" ht="15.7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49"/>
      <c r="AB652" s="52"/>
      <c r="AC652" s="52"/>
      <c r="AD652" s="52"/>
      <c r="AE652" s="52"/>
      <c r="AF652" s="52"/>
      <c r="AG652" s="52"/>
      <c r="AH652" s="52"/>
      <c r="AI652" s="52"/>
    </row>
    <row r="653" spans="1:35" ht="15.7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49"/>
      <c r="AB653" s="52"/>
      <c r="AC653" s="52"/>
      <c r="AD653" s="52"/>
      <c r="AE653" s="52"/>
      <c r="AF653" s="52"/>
      <c r="AG653" s="52"/>
      <c r="AH653" s="52"/>
      <c r="AI653" s="52"/>
    </row>
    <row r="654" spans="1:35" ht="15.7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49"/>
      <c r="AB654" s="52"/>
      <c r="AC654" s="52"/>
      <c r="AD654" s="52"/>
      <c r="AE654" s="52"/>
      <c r="AF654" s="52"/>
      <c r="AG654" s="52"/>
      <c r="AH654" s="52"/>
      <c r="AI654" s="52"/>
    </row>
    <row r="655" spans="1:35" ht="15.7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49"/>
      <c r="AB655" s="52"/>
      <c r="AC655" s="52"/>
      <c r="AD655" s="52"/>
      <c r="AE655" s="52"/>
      <c r="AF655" s="52"/>
      <c r="AG655" s="52"/>
      <c r="AH655" s="52"/>
      <c r="AI655" s="52"/>
    </row>
    <row r="656" spans="1:35" ht="15.7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49"/>
      <c r="AB656" s="52"/>
      <c r="AC656" s="52"/>
      <c r="AD656" s="52"/>
      <c r="AE656" s="52"/>
      <c r="AF656" s="52"/>
      <c r="AG656" s="52"/>
      <c r="AH656" s="52"/>
      <c r="AI656" s="52"/>
    </row>
    <row r="657" spans="1:35" ht="15.7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49"/>
      <c r="AB657" s="52"/>
      <c r="AC657" s="52"/>
      <c r="AD657" s="52"/>
      <c r="AE657" s="52"/>
      <c r="AF657" s="52"/>
      <c r="AG657" s="52"/>
      <c r="AH657" s="52"/>
      <c r="AI657" s="52"/>
    </row>
    <row r="658" spans="1:35" ht="15.7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49"/>
      <c r="AB658" s="52"/>
      <c r="AC658" s="52"/>
      <c r="AD658" s="52"/>
      <c r="AE658" s="52"/>
      <c r="AF658" s="52"/>
      <c r="AG658" s="52"/>
      <c r="AH658" s="52"/>
      <c r="AI658" s="52"/>
    </row>
    <row r="659" spans="1:35" ht="15.7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49"/>
      <c r="AB659" s="52"/>
      <c r="AC659" s="52"/>
      <c r="AD659" s="52"/>
      <c r="AE659" s="52"/>
      <c r="AF659" s="52"/>
      <c r="AG659" s="52"/>
      <c r="AH659" s="52"/>
      <c r="AI659" s="52"/>
    </row>
    <row r="660" spans="1:35" ht="15.7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49"/>
      <c r="AB660" s="52"/>
      <c r="AC660" s="52"/>
      <c r="AD660" s="52"/>
      <c r="AE660" s="52"/>
      <c r="AF660" s="52"/>
      <c r="AG660" s="52"/>
      <c r="AH660" s="52"/>
      <c r="AI660" s="52"/>
    </row>
    <row r="661" spans="1:35" ht="15.7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49"/>
      <c r="AB661" s="52"/>
      <c r="AC661" s="52"/>
      <c r="AD661" s="52"/>
      <c r="AE661" s="52"/>
      <c r="AF661" s="52"/>
      <c r="AG661" s="52"/>
      <c r="AH661" s="52"/>
      <c r="AI661" s="52"/>
    </row>
    <row r="662" spans="1:35" ht="15.7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49"/>
      <c r="AB662" s="52"/>
      <c r="AC662" s="52"/>
      <c r="AD662" s="52"/>
      <c r="AE662" s="52"/>
      <c r="AF662" s="52"/>
      <c r="AG662" s="52"/>
      <c r="AH662" s="52"/>
      <c r="AI662" s="52"/>
    </row>
    <row r="663" spans="1:35" ht="15.7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49"/>
      <c r="AB663" s="52"/>
      <c r="AC663" s="52"/>
      <c r="AD663" s="52"/>
      <c r="AE663" s="52"/>
      <c r="AF663" s="52"/>
      <c r="AG663" s="52"/>
      <c r="AH663" s="52"/>
      <c r="AI663" s="52"/>
    </row>
    <row r="664" spans="1:35" ht="15.7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49"/>
      <c r="AB664" s="52"/>
      <c r="AC664" s="52"/>
      <c r="AD664" s="52"/>
      <c r="AE664" s="52"/>
      <c r="AF664" s="52"/>
      <c r="AG664" s="52"/>
      <c r="AH664" s="52"/>
      <c r="AI664" s="52"/>
    </row>
    <row r="665" spans="1:35" ht="15.7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49"/>
      <c r="AB665" s="52"/>
      <c r="AC665" s="52"/>
      <c r="AD665" s="52"/>
      <c r="AE665" s="52"/>
      <c r="AF665" s="52"/>
      <c r="AG665" s="52"/>
      <c r="AH665" s="52"/>
      <c r="AI665" s="52"/>
    </row>
    <row r="666" spans="1:35" ht="15.7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49"/>
      <c r="AB666" s="52"/>
      <c r="AC666" s="52"/>
      <c r="AD666" s="52"/>
      <c r="AE666" s="52"/>
      <c r="AF666" s="52"/>
      <c r="AG666" s="52"/>
      <c r="AH666" s="52"/>
      <c r="AI666" s="52"/>
    </row>
    <row r="667" spans="1:35" ht="15.7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49"/>
      <c r="AB667" s="52"/>
      <c r="AC667" s="52"/>
      <c r="AD667" s="52"/>
      <c r="AE667" s="52"/>
      <c r="AF667" s="52"/>
      <c r="AG667" s="52"/>
      <c r="AH667" s="52"/>
      <c r="AI667" s="52"/>
    </row>
    <row r="668" spans="1:35" ht="15.7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49"/>
      <c r="AB668" s="52"/>
      <c r="AC668" s="52"/>
      <c r="AD668" s="52"/>
      <c r="AE668" s="52"/>
      <c r="AF668" s="52"/>
      <c r="AG668" s="52"/>
      <c r="AH668" s="52"/>
      <c r="AI668" s="52"/>
    </row>
    <row r="669" spans="1:35" ht="15.7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49"/>
      <c r="AB669" s="52"/>
      <c r="AC669" s="52"/>
      <c r="AD669" s="52"/>
      <c r="AE669" s="52"/>
      <c r="AF669" s="52"/>
      <c r="AG669" s="52"/>
      <c r="AH669" s="52"/>
      <c r="AI669" s="52"/>
    </row>
    <row r="670" spans="1:35" ht="15.7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49"/>
      <c r="AB670" s="52"/>
      <c r="AC670" s="52"/>
      <c r="AD670" s="52"/>
      <c r="AE670" s="52"/>
      <c r="AF670" s="52"/>
      <c r="AG670" s="52"/>
      <c r="AH670" s="52"/>
      <c r="AI670" s="52"/>
    </row>
    <row r="671" spans="1:35" ht="15.7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49"/>
      <c r="AB671" s="52"/>
      <c r="AC671" s="52"/>
      <c r="AD671" s="52"/>
      <c r="AE671" s="52"/>
      <c r="AF671" s="52"/>
      <c r="AG671" s="52"/>
      <c r="AH671" s="52"/>
      <c r="AI671" s="52"/>
    </row>
    <row r="672" spans="1:35" ht="15.7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49"/>
      <c r="AB672" s="52"/>
      <c r="AC672" s="52"/>
      <c r="AD672" s="52"/>
      <c r="AE672" s="52"/>
      <c r="AF672" s="52"/>
      <c r="AG672" s="52"/>
      <c r="AH672" s="52"/>
      <c r="AI672" s="52"/>
    </row>
    <row r="673" spans="1:35" ht="15.7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49"/>
      <c r="AB673" s="52"/>
      <c r="AC673" s="52"/>
      <c r="AD673" s="52"/>
      <c r="AE673" s="52"/>
      <c r="AF673" s="52"/>
      <c r="AG673" s="52"/>
      <c r="AH673" s="52"/>
      <c r="AI673" s="52"/>
    </row>
    <row r="674" spans="1:35" ht="15.7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49"/>
      <c r="AB674" s="52"/>
      <c r="AC674" s="52"/>
      <c r="AD674" s="52"/>
      <c r="AE674" s="52"/>
      <c r="AF674" s="52"/>
      <c r="AG674" s="52"/>
      <c r="AH674" s="52"/>
      <c r="AI674" s="52"/>
    </row>
    <row r="675" spans="1:35" ht="15.7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49"/>
      <c r="AB675" s="52"/>
      <c r="AC675" s="52"/>
      <c r="AD675" s="52"/>
      <c r="AE675" s="52"/>
      <c r="AF675" s="52"/>
      <c r="AG675" s="52"/>
      <c r="AH675" s="52"/>
      <c r="AI675" s="52"/>
    </row>
    <row r="676" spans="1:35" ht="15.7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49"/>
      <c r="AB676" s="52"/>
      <c r="AC676" s="52"/>
      <c r="AD676" s="52"/>
      <c r="AE676" s="52"/>
      <c r="AF676" s="52"/>
      <c r="AG676" s="52"/>
      <c r="AH676" s="52"/>
      <c r="AI676" s="52"/>
    </row>
    <row r="677" spans="1:35" ht="15.7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49"/>
      <c r="AB677" s="52"/>
      <c r="AC677" s="52"/>
      <c r="AD677" s="52"/>
      <c r="AE677" s="52"/>
      <c r="AF677" s="52"/>
      <c r="AG677" s="52"/>
      <c r="AH677" s="52"/>
      <c r="AI677" s="52"/>
    </row>
    <row r="678" spans="1:35" ht="15.7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49"/>
      <c r="AB678" s="52"/>
      <c r="AC678" s="52"/>
      <c r="AD678" s="52"/>
      <c r="AE678" s="52"/>
      <c r="AF678" s="52"/>
      <c r="AG678" s="52"/>
      <c r="AH678" s="52"/>
      <c r="AI678" s="52"/>
    </row>
    <row r="679" spans="1:35" ht="15.7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49"/>
      <c r="AB679" s="52"/>
      <c r="AC679" s="52"/>
      <c r="AD679" s="52"/>
      <c r="AE679" s="52"/>
      <c r="AF679" s="52"/>
      <c r="AG679" s="52"/>
      <c r="AH679" s="52"/>
      <c r="AI679" s="52"/>
    </row>
    <row r="680" spans="1:35" ht="15.7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49"/>
      <c r="AB680" s="52"/>
      <c r="AC680" s="52"/>
      <c r="AD680" s="52"/>
      <c r="AE680" s="52"/>
      <c r="AF680" s="52"/>
      <c r="AG680" s="52"/>
      <c r="AH680" s="52"/>
      <c r="AI680" s="52"/>
    </row>
    <row r="681" spans="1:35" ht="15.7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49"/>
      <c r="AB681" s="52"/>
      <c r="AC681" s="52"/>
      <c r="AD681" s="52"/>
      <c r="AE681" s="52"/>
      <c r="AF681" s="52"/>
      <c r="AG681" s="52"/>
      <c r="AH681" s="52"/>
      <c r="AI681" s="52"/>
    </row>
    <row r="682" spans="1:35" ht="15.7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49"/>
      <c r="AB682" s="52"/>
      <c r="AC682" s="52"/>
      <c r="AD682" s="52"/>
      <c r="AE682" s="52"/>
      <c r="AF682" s="52"/>
      <c r="AG682" s="52"/>
      <c r="AH682" s="52"/>
      <c r="AI682" s="52"/>
    </row>
    <row r="683" spans="1:35" ht="15.7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49"/>
      <c r="AB683" s="52"/>
      <c r="AC683" s="52"/>
      <c r="AD683" s="52"/>
      <c r="AE683" s="52"/>
      <c r="AF683" s="52"/>
      <c r="AG683" s="52"/>
      <c r="AH683" s="52"/>
      <c r="AI683" s="52"/>
    </row>
    <row r="684" spans="1:35" ht="15.7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49"/>
      <c r="AB684" s="52"/>
      <c r="AC684" s="52"/>
      <c r="AD684" s="52"/>
      <c r="AE684" s="52"/>
      <c r="AF684" s="52"/>
      <c r="AG684" s="52"/>
      <c r="AH684" s="52"/>
      <c r="AI684" s="52"/>
    </row>
    <row r="685" spans="1:35" ht="15.7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49"/>
      <c r="AB685" s="52"/>
      <c r="AC685" s="52"/>
      <c r="AD685" s="52"/>
      <c r="AE685" s="52"/>
      <c r="AF685" s="52"/>
      <c r="AG685" s="52"/>
      <c r="AH685" s="52"/>
      <c r="AI685" s="52"/>
    </row>
    <row r="686" spans="1:35" ht="15.7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49"/>
      <c r="AB686" s="52"/>
      <c r="AC686" s="52"/>
      <c r="AD686" s="52"/>
      <c r="AE686" s="52"/>
      <c r="AF686" s="52"/>
      <c r="AG686" s="52"/>
      <c r="AH686" s="52"/>
      <c r="AI686" s="52"/>
    </row>
    <row r="687" spans="1:35" ht="15.7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49"/>
      <c r="AB687" s="52"/>
      <c r="AC687" s="52"/>
      <c r="AD687" s="52"/>
      <c r="AE687" s="52"/>
      <c r="AF687" s="52"/>
      <c r="AG687" s="52"/>
      <c r="AH687" s="52"/>
      <c r="AI687" s="52"/>
    </row>
    <row r="688" spans="1:35" ht="15.7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49"/>
      <c r="AB688" s="52"/>
      <c r="AC688" s="52"/>
      <c r="AD688" s="52"/>
      <c r="AE688" s="52"/>
      <c r="AF688" s="52"/>
      <c r="AG688" s="52"/>
      <c r="AH688" s="52"/>
      <c r="AI688" s="52"/>
    </row>
    <row r="689" spans="1:35" ht="15.7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49"/>
      <c r="AB689" s="52"/>
      <c r="AC689" s="52"/>
      <c r="AD689" s="52"/>
      <c r="AE689" s="52"/>
      <c r="AF689" s="52"/>
      <c r="AG689" s="52"/>
      <c r="AH689" s="52"/>
      <c r="AI689" s="52"/>
    </row>
    <row r="690" spans="1:35" ht="15.7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49"/>
      <c r="AB690" s="52"/>
      <c r="AC690" s="52"/>
      <c r="AD690" s="52"/>
      <c r="AE690" s="52"/>
      <c r="AF690" s="52"/>
      <c r="AG690" s="52"/>
      <c r="AH690" s="52"/>
      <c r="AI690" s="52"/>
    </row>
    <row r="691" spans="1:35" ht="15.7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49"/>
      <c r="AB691" s="52"/>
      <c r="AC691" s="52"/>
      <c r="AD691" s="52"/>
      <c r="AE691" s="52"/>
      <c r="AF691" s="52"/>
      <c r="AG691" s="52"/>
      <c r="AH691" s="52"/>
      <c r="AI691" s="52"/>
    </row>
    <row r="692" spans="1:35" ht="15.7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49"/>
      <c r="AB692" s="52"/>
      <c r="AC692" s="52"/>
      <c r="AD692" s="52"/>
      <c r="AE692" s="52"/>
      <c r="AF692" s="52"/>
      <c r="AG692" s="52"/>
      <c r="AH692" s="52"/>
      <c r="AI692" s="52"/>
    </row>
    <row r="693" spans="1:35" ht="15.7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49"/>
      <c r="AB693" s="52"/>
      <c r="AC693" s="52"/>
      <c r="AD693" s="52"/>
      <c r="AE693" s="52"/>
      <c r="AF693" s="52"/>
      <c r="AG693" s="52"/>
      <c r="AH693" s="52"/>
      <c r="AI693" s="52"/>
    </row>
    <row r="694" spans="1:35" ht="15.7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49"/>
      <c r="AB694" s="52"/>
      <c r="AC694" s="52"/>
      <c r="AD694" s="52"/>
      <c r="AE694" s="52"/>
      <c r="AF694" s="52"/>
      <c r="AG694" s="52"/>
      <c r="AH694" s="52"/>
      <c r="AI694" s="52"/>
    </row>
    <row r="695" spans="1:35" ht="15.7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49"/>
      <c r="AB695" s="52"/>
      <c r="AC695" s="52"/>
      <c r="AD695" s="52"/>
      <c r="AE695" s="52"/>
      <c r="AF695" s="52"/>
      <c r="AG695" s="52"/>
      <c r="AH695" s="52"/>
      <c r="AI695" s="52"/>
    </row>
    <row r="696" spans="1:35" ht="15.7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49"/>
      <c r="AB696" s="52"/>
      <c r="AC696" s="52"/>
      <c r="AD696" s="52"/>
      <c r="AE696" s="52"/>
      <c r="AF696" s="52"/>
      <c r="AG696" s="52"/>
      <c r="AH696" s="52"/>
      <c r="AI696" s="52"/>
    </row>
    <row r="697" spans="1:35" ht="15.7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49"/>
      <c r="AB697" s="52"/>
      <c r="AC697" s="52"/>
      <c r="AD697" s="52"/>
      <c r="AE697" s="52"/>
      <c r="AF697" s="52"/>
      <c r="AG697" s="52"/>
      <c r="AH697" s="52"/>
      <c r="AI697" s="52"/>
    </row>
    <row r="698" spans="1:35" ht="15.7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49"/>
      <c r="AB698" s="52"/>
      <c r="AC698" s="52"/>
      <c r="AD698" s="52"/>
      <c r="AE698" s="52"/>
      <c r="AF698" s="52"/>
      <c r="AG698" s="52"/>
      <c r="AH698" s="52"/>
      <c r="AI698" s="52"/>
    </row>
    <row r="699" spans="1:35" ht="15.7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49"/>
      <c r="AB699" s="52"/>
      <c r="AC699" s="52"/>
      <c r="AD699" s="52"/>
      <c r="AE699" s="52"/>
      <c r="AF699" s="52"/>
      <c r="AG699" s="52"/>
      <c r="AH699" s="52"/>
      <c r="AI699" s="52"/>
    </row>
    <row r="700" spans="1:35" ht="15.7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49"/>
      <c r="AB700" s="52"/>
      <c r="AC700" s="52"/>
      <c r="AD700" s="52"/>
      <c r="AE700" s="52"/>
      <c r="AF700" s="52"/>
      <c r="AG700" s="52"/>
      <c r="AH700" s="52"/>
      <c r="AI700" s="52"/>
    </row>
    <row r="701" spans="1:35" ht="15.7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49"/>
      <c r="AB701" s="52"/>
      <c r="AC701" s="52"/>
      <c r="AD701" s="52"/>
      <c r="AE701" s="52"/>
      <c r="AF701" s="52"/>
      <c r="AG701" s="52"/>
      <c r="AH701" s="52"/>
      <c r="AI701" s="52"/>
    </row>
    <row r="702" spans="1:35" ht="15.7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49"/>
      <c r="AB702" s="52"/>
      <c r="AC702" s="52"/>
      <c r="AD702" s="52"/>
      <c r="AE702" s="52"/>
      <c r="AF702" s="52"/>
      <c r="AG702" s="52"/>
      <c r="AH702" s="52"/>
      <c r="AI702" s="52"/>
    </row>
    <row r="703" spans="1:35" ht="15.7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49"/>
      <c r="AB703" s="52"/>
      <c r="AC703" s="52"/>
      <c r="AD703" s="52"/>
      <c r="AE703" s="52"/>
      <c r="AF703" s="52"/>
      <c r="AG703" s="52"/>
      <c r="AH703" s="52"/>
      <c r="AI703" s="52"/>
    </row>
    <row r="704" spans="1:35" ht="15.7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49"/>
      <c r="AB704" s="52"/>
      <c r="AC704" s="52"/>
      <c r="AD704" s="52"/>
      <c r="AE704" s="52"/>
      <c r="AF704" s="52"/>
      <c r="AG704" s="52"/>
      <c r="AH704" s="52"/>
      <c r="AI704" s="52"/>
    </row>
    <row r="705" spans="1:35" ht="15.7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49"/>
      <c r="AB705" s="52"/>
      <c r="AC705" s="52"/>
      <c r="AD705" s="52"/>
      <c r="AE705" s="52"/>
      <c r="AF705" s="52"/>
      <c r="AG705" s="52"/>
      <c r="AH705" s="52"/>
      <c r="AI705" s="52"/>
    </row>
    <row r="706" spans="1:35" ht="15.7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49"/>
      <c r="AB706" s="52"/>
      <c r="AC706" s="52"/>
      <c r="AD706" s="52"/>
      <c r="AE706" s="52"/>
      <c r="AF706" s="52"/>
      <c r="AG706" s="52"/>
      <c r="AH706" s="52"/>
      <c r="AI706" s="52"/>
    </row>
    <row r="707" spans="1:35" ht="15.7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49"/>
      <c r="AB707" s="52"/>
      <c r="AC707" s="52"/>
      <c r="AD707" s="52"/>
      <c r="AE707" s="52"/>
      <c r="AF707" s="52"/>
      <c r="AG707" s="52"/>
      <c r="AH707" s="52"/>
      <c r="AI707" s="52"/>
    </row>
    <row r="708" spans="1:35" ht="15.7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49"/>
      <c r="AB708" s="52"/>
      <c r="AC708" s="52"/>
      <c r="AD708" s="52"/>
      <c r="AE708" s="52"/>
      <c r="AF708" s="52"/>
      <c r="AG708" s="52"/>
      <c r="AH708" s="52"/>
      <c r="AI708" s="52"/>
    </row>
    <row r="709" spans="1:35" ht="15.7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49"/>
      <c r="AB709" s="52"/>
      <c r="AC709" s="52"/>
      <c r="AD709" s="52"/>
      <c r="AE709" s="52"/>
      <c r="AF709" s="52"/>
      <c r="AG709" s="52"/>
      <c r="AH709" s="52"/>
      <c r="AI709" s="52"/>
    </row>
    <row r="710" spans="1:35" ht="15.7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49"/>
      <c r="AB710" s="52"/>
      <c r="AC710" s="52"/>
      <c r="AD710" s="52"/>
      <c r="AE710" s="52"/>
      <c r="AF710" s="52"/>
      <c r="AG710" s="52"/>
      <c r="AH710" s="52"/>
      <c r="AI710" s="52"/>
    </row>
    <row r="711" spans="1:35" ht="15.7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49"/>
      <c r="AB711" s="52"/>
      <c r="AC711" s="52"/>
      <c r="AD711" s="52"/>
      <c r="AE711" s="52"/>
      <c r="AF711" s="52"/>
      <c r="AG711" s="52"/>
      <c r="AH711" s="52"/>
      <c r="AI711" s="52"/>
    </row>
    <row r="712" spans="1:35" ht="15.7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49"/>
      <c r="AB712" s="52"/>
      <c r="AC712" s="52"/>
      <c r="AD712" s="52"/>
      <c r="AE712" s="52"/>
      <c r="AF712" s="52"/>
      <c r="AG712" s="52"/>
      <c r="AH712" s="52"/>
      <c r="AI712" s="52"/>
    </row>
    <row r="713" spans="1:35" ht="15.7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49"/>
      <c r="AB713" s="52"/>
      <c r="AC713" s="52"/>
      <c r="AD713" s="52"/>
      <c r="AE713" s="52"/>
      <c r="AF713" s="52"/>
      <c r="AG713" s="52"/>
      <c r="AH713" s="52"/>
      <c r="AI713" s="52"/>
    </row>
    <row r="714" spans="1:35" ht="15.7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49"/>
      <c r="AB714" s="52"/>
      <c r="AC714" s="52"/>
      <c r="AD714" s="52"/>
      <c r="AE714" s="52"/>
      <c r="AF714" s="52"/>
      <c r="AG714" s="52"/>
      <c r="AH714" s="52"/>
      <c r="AI714" s="52"/>
    </row>
    <row r="715" spans="1:35" ht="15.7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49"/>
      <c r="AB715" s="52"/>
      <c r="AC715" s="52"/>
      <c r="AD715" s="52"/>
      <c r="AE715" s="52"/>
      <c r="AF715" s="52"/>
      <c r="AG715" s="52"/>
      <c r="AH715" s="52"/>
      <c r="AI715" s="52"/>
    </row>
    <row r="716" spans="1:35" ht="15.7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49"/>
      <c r="AB716" s="52"/>
      <c r="AC716" s="52"/>
      <c r="AD716" s="52"/>
      <c r="AE716" s="52"/>
      <c r="AF716" s="52"/>
      <c r="AG716" s="52"/>
      <c r="AH716" s="52"/>
      <c r="AI716" s="52"/>
    </row>
    <row r="717" spans="1:35" ht="15.7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49"/>
      <c r="AB717" s="52"/>
      <c r="AC717" s="52"/>
      <c r="AD717" s="52"/>
      <c r="AE717" s="52"/>
      <c r="AF717" s="52"/>
      <c r="AG717" s="52"/>
      <c r="AH717" s="52"/>
      <c r="AI717" s="52"/>
    </row>
    <row r="718" spans="1:35" ht="15.7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49"/>
      <c r="AB718" s="52"/>
      <c r="AC718" s="52"/>
      <c r="AD718" s="52"/>
      <c r="AE718" s="52"/>
      <c r="AF718" s="52"/>
      <c r="AG718" s="52"/>
      <c r="AH718" s="52"/>
      <c r="AI718" s="52"/>
    </row>
    <row r="719" spans="1:35" ht="15.7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49"/>
      <c r="AB719" s="52"/>
      <c r="AC719" s="52"/>
      <c r="AD719" s="52"/>
      <c r="AE719" s="52"/>
      <c r="AF719" s="52"/>
      <c r="AG719" s="52"/>
      <c r="AH719" s="52"/>
      <c r="AI719" s="52"/>
    </row>
    <row r="720" spans="1:35" ht="15.7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49"/>
      <c r="AB720" s="52"/>
      <c r="AC720" s="52"/>
      <c r="AD720" s="52"/>
      <c r="AE720" s="52"/>
      <c r="AF720" s="52"/>
      <c r="AG720" s="52"/>
      <c r="AH720" s="52"/>
      <c r="AI720" s="52"/>
    </row>
    <row r="721" spans="1:35" ht="15.7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49"/>
      <c r="AB721" s="52"/>
      <c r="AC721" s="52"/>
      <c r="AD721" s="52"/>
      <c r="AE721" s="52"/>
      <c r="AF721" s="52"/>
      <c r="AG721" s="52"/>
      <c r="AH721" s="52"/>
      <c r="AI721" s="52"/>
    </row>
    <row r="722" spans="1:35" ht="15.7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49"/>
      <c r="AB722" s="52"/>
      <c r="AC722" s="52"/>
      <c r="AD722" s="52"/>
      <c r="AE722" s="52"/>
      <c r="AF722" s="52"/>
      <c r="AG722" s="52"/>
      <c r="AH722" s="52"/>
      <c r="AI722" s="52"/>
    </row>
    <row r="723" spans="1:35" ht="15.7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49"/>
      <c r="AB723" s="52"/>
      <c r="AC723" s="52"/>
      <c r="AD723" s="52"/>
      <c r="AE723" s="52"/>
      <c r="AF723" s="52"/>
      <c r="AG723" s="52"/>
      <c r="AH723" s="52"/>
      <c r="AI723" s="52"/>
    </row>
    <row r="724" spans="1:35" ht="15.7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49"/>
      <c r="AB724" s="52"/>
      <c r="AC724" s="52"/>
      <c r="AD724" s="52"/>
      <c r="AE724" s="52"/>
      <c r="AF724" s="52"/>
      <c r="AG724" s="52"/>
      <c r="AH724" s="52"/>
      <c r="AI724" s="52"/>
    </row>
    <row r="725" spans="1:35" ht="15.7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49"/>
      <c r="AB725" s="52"/>
      <c r="AC725" s="52"/>
      <c r="AD725" s="52"/>
      <c r="AE725" s="52"/>
      <c r="AF725" s="52"/>
      <c r="AG725" s="52"/>
      <c r="AH725" s="52"/>
      <c r="AI725" s="52"/>
    </row>
    <row r="726" spans="1:35" ht="15.7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49"/>
      <c r="AB726" s="52"/>
      <c r="AC726" s="52"/>
      <c r="AD726" s="52"/>
      <c r="AE726" s="52"/>
      <c r="AF726" s="52"/>
      <c r="AG726" s="52"/>
      <c r="AH726" s="52"/>
      <c r="AI726" s="52"/>
    </row>
    <row r="727" spans="1:35" ht="15.7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49"/>
      <c r="AB727" s="52"/>
      <c r="AC727" s="52"/>
      <c r="AD727" s="52"/>
      <c r="AE727" s="52"/>
      <c r="AF727" s="52"/>
      <c r="AG727" s="52"/>
      <c r="AH727" s="52"/>
      <c r="AI727" s="52"/>
    </row>
    <row r="728" spans="1:35" ht="15.7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49"/>
      <c r="AB728" s="52"/>
      <c r="AC728" s="52"/>
      <c r="AD728" s="52"/>
      <c r="AE728" s="52"/>
      <c r="AF728" s="52"/>
      <c r="AG728" s="52"/>
      <c r="AH728" s="52"/>
      <c r="AI728" s="52"/>
    </row>
    <row r="729" spans="1:35" ht="15.7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49"/>
      <c r="AB729" s="52"/>
      <c r="AC729" s="52"/>
      <c r="AD729" s="52"/>
      <c r="AE729" s="52"/>
      <c r="AF729" s="52"/>
      <c r="AG729" s="52"/>
      <c r="AH729" s="52"/>
      <c r="AI729" s="52"/>
    </row>
    <row r="730" spans="1:35" ht="15.7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49"/>
      <c r="AB730" s="52"/>
      <c r="AC730" s="52"/>
      <c r="AD730" s="52"/>
      <c r="AE730" s="52"/>
      <c r="AF730" s="52"/>
      <c r="AG730" s="52"/>
      <c r="AH730" s="52"/>
      <c r="AI730" s="52"/>
    </row>
    <row r="731" spans="1:35" ht="15.7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49"/>
      <c r="AB731" s="52"/>
      <c r="AC731" s="52"/>
      <c r="AD731" s="52"/>
      <c r="AE731" s="52"/>
      <c r="AF731" s="52"/>
      <c r="AG731" s="52"/>
      <c r="AH731" s="52"/>
      <c r="AI731" s="52"/>
    </row>
    <row r="732" spans="1:35" ht="15.7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49"/>
      <c r="AB732" s="52"/>
      <c r="AC732" s="52"/>
      <c r="AD732" s="52"/>
      <c r="AE732" s="52"/>
      <c r="AF732" s="52"/>
      <c r="AG732" s="52"/>
      <c r="AH732" s="52"/>
      <c r="AI732" s="52"/>
    </row>
    <row r="733" spans="1:35" ht="15.7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49"/>
      <c r="AB733" s="52"/>
      <c r="AC733" s="52"/>
      <c r="AD733" s="52"/>
      <c r="AE733" s="52"/>
      <c r="AF733" s="52"/>
      <c r="AG733" s="52"/>
      <c r="AH733" s="52"/>
      <c r="AI733" s="52"/>
    </row>
    <row r="734" spans="1:35" ht="15.7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49"/>
      <c r="AB734" s="52"/>
      <c r="AC734" s="52"/>
      <c r="AD734" s="52"/>
      <c r="AE734" s="52"/>
      <c r="AF734" s="52"/>
      <c r="AG734" s="52"/>
      <c r="AH734" s="52"/>
      <c r="AI734" s="52"/>
    </row>
    <row r="735" spans="1:35" ht="15.7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49"/>
      <c r="AB735" s="52"/>
      <c r="AC735" s="52"/>
      <c r="AD735" s="52"/>
      <c r="AE735" s="52"/>
      <c r="AF735" s="52"/>
      <c r="AG735" s="52"/>
      <c r="AH735" s="52"/>
      <c r="AI735" s="52"/>
    </row>
    <row r="736" spans="1:35" ht="15.7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49"/>
      <c r="AB736" s="52"/>
      <c r="AC736" s="52"/>
      <c r="AD736" s="52"/>
      <c r="AE736" s="52"/>
      <c r="AF736" s="52"/>
      <c r="AG736" s="52"/>
      <c r="AH736" s="52"/>
      <c r="AI736" s="52"/>
    </row>
    <row r="737" spans="1:35" ht="15.7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49"/>
      <c r="AB737" s="52"/>
      <c r="AC737" s="52"/>
      <c r="AD737" s="52"/>
      <c r="AE737" s="52"/>
      <c r="AF737" s="52"/>
      <c r="AG737" s="52"/>
      <c r="AH737" s="52"/>
      <c r="AI737" s="52"/>
    </row>
    <row r="738" spans="1:35" ht="15.7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49"/>
      <c r="AB738" s="52"/>
      <c r="AC738" s="52"/>
      <c r="AD738" s="52"/>
      <c r="AE738" s="52"/>
      <c r="AF738" s="52"/>
      <c r="AG738" s="52"/>
      <c r="AH738" s="52"/>
      <c r="AI738" s="52"/>
    </row>
    <row r="739" spans="1:35" ht="15.7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49"/>
      <c r="AB739" s="52"/>
      <c r="AC739" s="52"/>
      <c r="AD739" s="52"/>
      <c r="AE739" s="52"/>
      <c r="AF739" s="52"/>
      <c r="AG739" s="52"/>
      <c r="AH739" s="52"/>
      <c r="AI739" s="52"/>
    </row>
    <row r="740" spans="1:35" ht="15.7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49"/>
      <c r="AB740" s="52"/>
      <c r="AC740" s="52"/>
      <c r="AD740" s="52"/>
      <c r="AE740" s="52"/>
      <c r="AF740" s="52"/>
      <c r="AG740" s="52"/>
      <c r="AH740" s="52"/>
      <c r="AI740" s="52"/>
    </row>
    <row r="741" spans="1:35" ht="15.7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49"/>
      <c r="AB741" s="52"/>
      <c r="AC741" s="52"/>
      <c r="AD741" s="52"/>
      <c r="AE741" s="52"/>
      <c r="AF741" s="52"/>
      <c r="AG741" s="52"/>
      <c r="AH741" s="52"/>
      <c r="AI741" s="52"/>
    </row>
    <row r="742" spans="1:35" ht="15.7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49"/>
      <c r="AB742" s="52"/>
      <c r="AC742" s="52"/>
      <c r="AD742" s="52"/>
      <c r="AE742" s="52"/>
      <c r="AF742" s="52"/>
      <c r="AG742" s="52"/>
      <c r="AH742" s="52"/>
      <c r="AI742" s="52"/>
    </row>
    <row r="743" spans="1:35" ht="15.7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49"/>
      <c r="AB743" s="52"/>
      <c r="AC743" s="52"/>
      <c r="AD743" s="52"/>
      <c r="AE743" s="52"/>
      <c r="AF743" s="52"/>
      <c r="AG743" s="52"/>
      <c r="AH743" s="52"/>
      <c r="AI743" s="52"/>
    </row>
    <row r="744" spans="1:35" ht="15.7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49"/>
      <c r="AB744" s="52"/>
      <c r="AC744" s="52"/>
      <c r="AD744" s="52"/>
      <c r="AE744" s="52"/>
      <c r="AF744" s="52"/>
      <c r="AG744" s="52"/>
      <c r="AH744" s="52"/>
      <c r="AI744" s="52"/>
    </row>
    <row r="745" spans="1:35" ht="15.7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49"/>
      <c r="AB745" s="52"/>
      <c r="AC745" s="52"/>
      <c r="AD745" s="52"/>
      <c r="AE745" s="52"/>
      <c r="AF745" s="52"/>
      <c r="AG745" s="52"/>
      <c r="AH745" s="52"/>
      <c r="AI745" s="52"/>
    </row>
    <row r="746" spans="1:35" ht="15.7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49"/>
      <c r="AB746" s="52"/>
      <c r="AC746" s="52"/>
      <c r="AD746" s="52"/>
      <c r="AE746" s="52"/>
      <c r="AF746" s="52"/>
      <c r="AG746" s="52"/>
      <c r="AH746" s="52"/>
      <c r="AI746" s="52"/>
    </row>
    <row r="747" spans="1:35" ht="15.7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49"/>
      <c r="AB747" s="52"/>
      <c r="AC747" s="52"/>
      <c r="AD747" s="52"/>
      <c r="AE747" s="52"/>
      <c r="AF747" s="52"/>
      <c r="AG747" s="52"/>
      <c r="AH747" s="52"/>
      <c r="AI747" s="52"/>
    </row>
    <row r="748" spans="1:35" ht="15.7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49"/>
      <c r="AB748" s="52"/>
      <c r="AC748" s="52"/>
      <c r="AD748" s="52"/>
      <c r="AE748" s="52"/>
      <c r="AF748" s="52"/>
      <c r="AG748" s="52"/>
      <c r="AH748" s="52"/>
      <c r="AI748" s="52"/>
    </row>
    <row r="749" spans="1:35" ht="15.7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49"/>
      <c r="AB749" s="52"/>
      <c r="AC749" s="52"/>
      <c r="AD749" s="52"/>
      <c r="AE749" s="52"/>
      <c r="AF749" s="52"/>
      <c r="AG749" s="52"/>
      <c r="AH749" s="52"/>
      <c r="AI749" s="52"/>
    </row>
    <row r="750" spans="1:35" ht="15.7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49"/>
      <c r="AB750" s="52"/>
      <c r="AC750" s="52"/>
      <c r="AD750" s="52"/>
      <c r="AE750" s="52"/>
      <c r="AF750" s="52"/>
      <c r="AG750" s="52"/>
      <c r="AH750" s="52"/>
      <c r="AI750" s="52"/>
    </row>
    <row r="751" spans="1:35" ht="15.7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49"/>
      <c r="AB751" s="52"/>
      <c r="AC751" s="52"/>
      <c r="AD751" s="52"/>
      <c r="AE751" s="52"/>
      <c r="AF751" s="52"/>
      <c r="AG751" s="52"/>
      <c r="AH751" s="52"/>
      <c r="AI751" s="52"/>
    </row>
    <row r="752" spans="1:35" ht="15.7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49"/>
      <c r="AB752" s="52"/>
      <c r="AC752" s="52"/>
      <c r="AD752" s="52"/>
      <c r="AE752" s="52"/>
      <c r="AF752" s="52"/>
      <c r="AG752" s="52"/>
      <c r="AH752" s="52"/>
      <c r="AI752" s="52"/>
    </row>
    <row r="753" spans="1:35" ht="15.7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49"/>
      <c r="AB753" s="52"/>
      <c r="AC753" s="52"/>
      <c r="AD753" s="52"/>
      <c r="AE753" s="52"/>
      <c r="AF753" s="52"/>
      <c r="AG753" s="52"/>
      <c r="AH753" s="52"/>
      <c r="AI753" s="52"/>
    </row>
    <row r="754" spans="1:35" ht="15.7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49"/>
      <c r="AB754" s="52"/>
      <c r="AC754" s="52"/>
      <c r="AD754" s="52"/>
      <c r="AE754" s="52"/>
      <c r="AF754" s="52"/>
      <c r="AG754" s="52"/>
      <c r="AH754" s="52"/>
      <c r="AI754" s="52"/>
    </row>
    <row r="755" spans="1:35" ht="15.7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49"/>
      <c r="AB755" s="52"/>
      <c r="AC755" s="52"/>
      <c r="AD755" s="52"/>
      <c r="AE755" s="52"/>
      <c r="AF755" s="52"/>
      <c r="AG755" s="52"/>
      <c r="AH755" s="52"/>
      <c r="AI755" s="52"/>
    </row>
    <row r="756" spans="1:35" ht="15.7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49"/>
      <c r="AB756" s="52"/>
      <c r="AC756" s="52"/>
      <c r="AD756" s="52"/>
      <c r="AE756" s="52"/>
      <c r="AF756" s="52"/>
      <c r="AG756" s="52"/>
      <c r="AH756" s="52"/>
      <c r="AI756" s="52"/>
    </row>
    <row r="757" spans="1:35" ht="15.7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49"/>
      <c r="AB757" s="52"/>
      <c r="AC757" s="52"/>
      <c r="AD757" s="52"/>
      <c r="AE757" s="52"/>
      <c r="AF757" s="52"/>
      <c r="AG757" s="52"/>
      <c r="AH757" s="52"/>
      <c r="AI757" s="52"/>
    </row>
    <row r="758" spans="1:35" ht="15.7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49"/>
      <c r="AB758" s="52"/>
      <c r="AC758" s="52"/>
      <c r="AD758" s="52"/>
      <c r="AE758" s="52"/>
      <c r="AF758" s="52"/>
      <c r="AG758" s="52"/>
      <c r="AH758" s="52"/>
      <c r="AI758" s="52"/>
    </row>
    <row r="759" spans="1:35" ht="15.7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49"/>
      <c r="AB759" s="52"/>
      <c r="AC759" s="52"/>
      <c r="AD759" s="52"/>
      <c r="AE759" s="52"/>
      <c r="AF759" s="52"/>
      <c r="AG759" s="52"/>
      <c r="AH759" s="52"/>
      <c r="AI759" s="52"/>
    </row>
    <row r="760" spans="1:35" ht="15.7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49"/>
      <c r="AB760" s="52"/>
      <c r="AC760" s="52"/>
      <c r="AD760" s="52"/>
      <c r="AE760" s="52"/>
      <c r="AF760" s="52"/>
      <c r="AG760" s="52"/>
      <c r="AH760" s="52"/>
      <c r="AI760" s="52"/>
    </row>
    <row r="761" spans="1:35" ht="15.7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49"/>
      <c r="AB761" s="52"/>
      <c r="AC761" s="52"/>
      <c r="AD761" s="52"/>
      <c r="AE761" s="52"/>
      <c r="AF761" s="52"/>
      <c r="AG761" s="52"/>
      <c r="AH761" s="52"/>
      <c r="AI761" s="52"/>
    </row>
    <row r="762" spans="1:35" ht="15.7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49"/>
      <c r="AB762" s="52"/>
      <c r="AC762" s="52"/>
      <c r="AD762" s="52"/>
      <c r="AE762" s="52"/>
      <c r="AF762" s="52"/>
      <c r="AG762" s="52"/>
      <c r="AH762" s="52"/>
      <c r="AI762" s="52"/>
    </row>
    <row r="763" spans="1:35" ht="15.7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49"/>
      <c r="AB763" s="52"/>
      <c r="AC763" s="52"/>
      <c r="AD763" s="52"/>
      <c r="AE763" s="52"/>
      <c r="AF763" s="52"/>
      <c r="AG763" s="52"/>
      <c r="AH763" s="52"/>
      <c r="AI763" s="52"/>
    </row>
    <row r="764" spans="1:35" ht="15.7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49"/>
      <c r="AB764" s="52"/>
      <c r="AC764" s="52"/>
      <c r="AD764" s="52"/>
      <c r="AE764" s="52"/>
      <c r="AF764" s="52"/>
      <c r="AG764" s="52"/>
      <c r="AH764" s="52"/>
      <c r="AI764" s="52"/>
    </row>
    <row r="765" spans="1:35" ht="15.7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49"/>
      <c r="AB765" s="52"/>
      <c r="AC765" s="52"/>
      <c r="AD765" s="52"/>
      <c r="AE765" s="52"/>
      <c r="AF765" s="52"/>
      <c r="AG765" s="52"/>
      <c r="AH765" s="52"/>
      <c r="AI765" s="52"/>
    </row>
    <row r="766" spans="1:35" ht="15.7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49"/>
      <c r="AB766" s="52"/>
      <c r="AC766" s="52"/>
      <c r="AD766" s="52"/>
      <c r="AE766" s="52"/>
      <c r="AF766" s="52"/>
      <c r="AG766" s="52"/>
      <c r="AH766" s="52"/>
      <c r="AI766" s="52"/>
    </row>
    <row r="767" spans="1:35" ht="15.7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49"/>
      <c r="AB767" s="52"/>
      <c r="AC767" s="52"/>
      <c r="AD767" s="52"/>
      <c r="AE767" s="52"/>
      <c r="AF767" s="52"/>
      <c r="AG767" s="52"/>
      <c r="AH767" s="52"/>
      <c r="AI767" s="52"/>
    </row>
    <row r="768" spans="1:35" ht="15.7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49"/>
      <c r="AB768" s="52"/>
      <c r="AC768" s="52"/>
      <c r="AD768" s="52"/>
      <c r="AE768" s="52"/>
      <c r="AF768" s="52"/>
      <c r="AG768" s="52"/>
      <c r="AH768" s="52"/>
      <c r="AI768" s="52"/>
    </row>
    <row r="769" spans="1:35" ht="15.7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49"/>
      <c r="AB769" s="52"/>
      <c r="AC769" s="52"/>
      <c r="AD769" s="52"/>
      <c r="AE769" s="52"/>
      <c r="AF769" s="52"/>
      <c r="AG769" s="52"/>
      <c r="AH769" s="52"/>
      <c r="AI769" s="52"/>
    </row>
    <row r="770" spans="1:35" ht="15.7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49"/>
      <c r="AB770" s="52"/>
      <c r="AC770" s="52"/>
      <c r="AD770" s="52"/>
      <c r="AE770" s="52"/>
      <c r="AF770" s="52"/>
      <c r="AG770" s="52"/>
      <c r="AH770" s="52"/>
      <c r="AI770" s="52"/>
    </row>
    <row r="771" spans="1:35" ht="15.7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49"/>
      <c r="AB771" s="52"/>
      <c r="AC771" s="52"/>
      <c r="AD771" s="52"/>
      <c r="AE771" s="52"/>
      <c r="AF771" s="52"/>
      <c r="AG771" s="52"/>
      <c r="AH771" s="52"/>
      <c r="AI771" s="52"/>
    </row>
    <row r="772" spans="1:35" ht="15.7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49"/>
      <c r="AB772" s="52"/>
      <c r="AC772" s="52"/>
      <c r="AD772" s="52"/>
      <c r="AE772" s="52"/>
      <c r="AF772" s="52"/>
      <c r="AG772" s="52"/>
      <c r="AH772" s="52"/>
      <c r="AI772" s="52"/>
    </row>
    <row r="773" spans="1:35" ht="15.7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49"/>
      <c r="AB773" s="52"/>
      <c r="AC773" s="52"/>
      <c r="AD773" s="52"/>
      <c r="AE773" s="52"/>
      <c r="AF773" s="52"/>
      <c r="AG773" s="52"/>
      <c r="AH773" s="52"/>
      <c r="AI773" s="52"/>
    </row>
    <row r="774" spans="1:35" ht="15.7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49"/>
      <c r="AB774" s="52"/>
      <c r="AC774" s="52"/>
      <c r="AD774" s="52"/>
      <c r="AE774" s="52"/>
      <c r="AF774" s="52"/>
      <c r="AG774" s="52"/>
      <c r="AH774" s="52"/>
      <c r="AI774" s="52"/>
    </row>
    <row r="775" spans="1:35" ht="15.7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49"/>
      <c r="AB775" s="52"/>
      <c r="AC775" s="52"/>
      <c r="AD775" s="52"/>
      <c r="AE775" s="52"/>
      <c r="AF775" s="52"/>
      <c r="AG775" s="52"/>
      <c r="AH775" s="52"/>
      <c r="AI775" s="52"/>
    </row>
    <row r="776" spans="1:35" ht="15.7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49"/>
      <c r="AB776" s="52"/>
      <c r="AC776" s="52"/>
      <c r="AD776" s="52"/>
      <c r="AE776" s="52"/>
      <c r="AF776" s="52"/>
      <c r="AG776" s="52"/>
      <c r="AH776" s="52"/>
      <c r="AI776" s="52"/>
    </row>
    <row r="777" spans="1:35" ht="15.7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49"/>
      <c r="AB777" s="52"/>
      <c r="AC777" s="52"/>
      <c r="AD777" s="52"/>
      <c r="AE777" s="52"/>
      <c r="AF777" s="52"/>
      <c r="AG777" s="52"/>
      <c r="AH777" s="52"/>
      <c r="AI777" s="52"/>
    </row>
    <row r="778" spans="1:35" ht="15.7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49"/>
      <c r="AB778" s="52"/>
      <c r="AC778" s="52"/>
      <c r="AD778" s="52"/>
      <c r="AE778" s="52"/>
      <c r="AF778" s="52"/>
      <c r="AG778" s="52"/>
      <c r="AH778" s="52"/>
      <c r="AI778" s="52"/>
    </row>
    <row r="779" spans="1:35" ht="15.7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49"/>
      <c r="AB779" s="52"/>
      <c r="AC779" s="52"/>
      <c r="AD779" s="52"/>
      <c r="AE779" s="52"/>
      <c r="AF779" s="52"/>
      <c r="AG779" s="52"/>
      <c r="AH779" s="52"/>
      <c r="AI779" s="52"/>
    </row>
    <row r="780" spans="1:35" ht="15.7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49"/>
      <c r="AB780" s="52"/>
      <c r="AC780" s="52"/>
      <c r="AD780" s="52"/>
      <c r="AE780" s="52"/>
      <c r="AF780" s="52"/>
      <c r="AG780" s="52"/>
      <c r="AH780" s="52"/>
      <c r="AI780" s="52"/>
    </row>
    <row r="781" spans="1:35" ht="15.7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49"/>
      <c r="AB781" s="52"/>
      <c r="AC781" s="52"/>
      <c r="AD781" s="52"/>
      <c r="AE781" s="52"/>
      <c r="AF781" s="52"/>
      <c r="AG781" s="52"/>
      <c r="AH781" s="52"/>
      <c r="AI781" s="52"/>
    </row>
    <row r="782" spans="1:35" ht="15.7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49"/>
      <c r="AB782" s="52"/>
      <c r="AC782" s="52"/>
      <c r="AD782" s="52"/>
      <c r="AE782" s="52"/>
      <c r="AF782" s="52"/>
      <c r="AG782" s="52"/>
      <c r="AH782" s="52"/>
      <c r="AI782" s="52"/>
    </row>
    <row r="783" spans="1:35" ht="15.7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49"/>
      <c r="AB783" s="52"/>
      <c r="AC783" s="52"/>
      <c r="AD783" s="52"/>
      <c r="AE783" s="52"/>
      <c r="AF783" s="52"/>
      <c r="AG783" s="52"/>
      <c r="AH783" s="52"/>
      <c r="AI783" s="52"/>
    </row>
    <row r="784" spans="1:35" ht="15.7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49"/>
      <c r="AB784" s="52"/>
      <c r="AC784" s="52"/>
      <c r="AD784" s="52"/>
      <c r="AE784" s="52"/>
      <c r="AF784" s="52"/>
      <c r="AG784" s="52"/>
      <c r="AH784" s="52"/>
      <c r="AI784" s="52"/>
    </row>
    <row r="785" spans="1:35" ht="15.7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49"/>
      <c r="AB785" s="52"/>
      <c r="AC785" s="52"/>
      <c r="AD785" s="52"/>
      <c r="AE785" s="52"/>
      <c r="AF785" s="52"/>
      <c r="AG785" s="52"/>
      <c r="AH785" s="52"/>
      <c r="AI785" s="52"/>
    </row>
    <row r="786" spans="1:35" ht="15.7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49"/>
      <c r="AB786" s="52"/>
      <c r="AC786" s="52"/>
      <c r="AD786" s="52"/>
      <c r="AE786" s="52"/>
      <c r="AF786" s="52"/>
      <c r="AG786" s="52"/>
      <c r="AH786" s="52"/>
      <c r="AI786" s="52"/>
    </row>
    <row r="787" spans="1:35" ht="15.7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49"/>
      <c r="AB787" s="52"/>
      <c r="AC787" s="52"/>
      <c r="AD787" s="52"/>
      <c r="AE787" s="52"/>
      <c r="AF787" s="52"/>
      <c r="AG787" s="52"/>
      <c r="AH787" s="52"/>
      <c r="AI787" s="52"/>
    </row>
    <row r="788" spans="1:35" ht="15.7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49"/>
      <c r="AB788" s="52"/>
      <c r="AC788" s="52"/>
      <c r="AD788" s="52"/>
      <c r="AE788" s="52"/>
      <c r="AF788" s="52"/>
      <c r="AG788" s="52"/>
      <c r="AH788" s="52"/>
      <c r="AI788" s="52"/>
    </row>
    <row r="789" spans="1:35" ht="15.7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49"/>
      <c r="AB789" s="52"/>
      <c r="AC789" s="52"/>
      <c r="AD789" s="52"/>
      <c r="AE789" s="52"/>
      <c r="AF789" s="52"/>
      <c r="AG789" s="52"/>
      <c r="AH789" s="52"/>
      <c r="AI789" s="52"/>
    </row>
    <row r="790" spans="1:35" ht="15.7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49"/>
      <c r="AB790" s="52"/>
      <c r="AC790" s="52"/>
      <c r="AD790" s="52"/>
      <c r="AE790" s="52"/>
      <c r="AF790" s="52"/>
      <c r="AG790" s="52"/>
      <c r="AH790" s="52"/>
      <c r="AI790" s="52"/>
    </row>
    <row r="791" spans="1:35" ht="15.7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49"/>
      <c r="AB791" s="52"/>
      <c r="AC791" s="52"/>
      <c r="AD791" s="52"/>
      <c r="AE791" s="52"/>
      <c r="AF791" s="52"/>
      <c r="AG791" s="52"/>
      <c r="AH791" s="52"/>
      <c r="AI791" s="52"/>
    </row>
    <row r="792" spans="1:35" ht="15.7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49"/>
      <c r="AB792" s="52"/>
      <c r="AC792" s="52"/>
      <c r="AD792" s="52"/>
      <c r="AE792" s="52"/>
      <c r="AF792" s="52"/>
      <c r="AG792" s="52"/>
      <c r="AH792" s="52"/>
      <c r="AI792" s="52"/>
    </row>
    <row r="793" spans="1:35" ht="15.7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49"/>
      <c r="AB793" s="52"/>
      <c r="AC793" s="52"/>
      <c r="AD793" s="52"/>
      <c r="AE793" s="52"/>
      <c r="AF793" s="52"/>
      <c r="AG793" s="52"/>
      <c r="AH793" s="52"/>
      <c r="AI793" s="52"/>
    </row>
    <row r="794" spans="1:35" ht="15.7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49"/>
      <c r="AB794" s="52"/>
      <c r="AC794" s="52"/>
      <c r="AD794" s="52"/>
      <c r="AE794" s="52"/>
      <c r="AF794" s="52"/>
      <c r="AG794" s="52"/>
      <c r="AH794" s="52"/>
      <c r="AI794" s="52"/>
    </row>
    <row r="795" spans="1:35" ht="15.7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49"/>
      <c r="AB795" s="52"/>
      <c r="AC795" s="52"/>
      <c r="AD795" s="52"/>
      <c r="AE795" s="52"/>
      <c r="AF795" s="52"/>
      <c r="AG795" s="52"/>
      <c r="AH795" s="52"/>
      <c r="AI795" s="52"/>
    </row>
    <row r="796" spans="1:35" ht="15.7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49"/>
      <c r="AB796" s="52"/>
      <c r="AC796" s="52"/>
      <c r="AD796" s="52"/>
      <c r="AE796" s="52"/>
      <c r="AF796" s="52"/>
      <c r="AG796" s="52"/>
      <c r="AH796" s="52"/>
      <c r="AI796" s="52"/>
    </row>
    <row r="797" spans="1:35" ht="15.7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49"/>
      <c r="AB797" s="52"/>
      <c r="AC797" s="52"/>
      <c r="AD797" s="52"/>
      <c r="AE797" s="52"/>
      <c r="AF797" s="52"/>
      <c r="AG797" s="52"/>
      <c r="AH797" s="52"/>
      <c r="AI797" s="52"/>
    </row>
    <row r="798" spans="1:35" ht="15.7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49"/>
      <c r="AB798" s="52"/>
      <c r="AC798" s="52"/>
      <c r="AD798" s="52"/>
      <c r="AE798" s="52"/>
      <c r="AF798" s="52"/>
      <c r="AG798" s="52"/>
      <c r="AH798" s="52"/>
      <c r="AI798" s="52"/>
    </row>
    <row r="799" spans="1:35" ht="15.7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49"/>
      <c r="AB799" s="52"/>
      <c r="AC799" s="52"/>
      <c r="AD799" s="52"/>
      <c r="AE799" s="52"/>
      <c r="AF799" s="52"/>
      <c r="AG799" s="52"/>
      <c r="AH799" s="52"/>
      <c r="AI799" s="52"/>
    </row>
    <row r="800" spans="1:35" ht="15.7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49"/>
      <c r="AB800" s="52"/>
      <c r="AC800" s="52"/>
      <c r="AD800" s="52"/>
      <c r="AE800" s="52"/>
      <c r="AF800" s="52"/>
      <c r="AG800" s="52"/>
      <c r="AH800" s="52"/>
      <c r="AI800" s="52"/>
    </row>
    <row r="801" spans="1:35" ht="15.7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49"/>
      <c r="AB801" s="52"/>
      <c r="AC801" s="52"/>
      <c r="AD801" s="52"/>
      <c r="AE801" s="52"/>
      <c r="AF801" s="52"/>
      <c r="AG801" s="52"/>
      <c r="AH801" s="52"/>
      <c r="AI801" s="52"/>
    </row>
    <row r="802" spans="1:35" ht="15.7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49"/>
      <c r="AB802" s="52"/>
      <c r="AC802" s="52"/>
      <c r="AD802" s="52"/>
      <c r="AE802" s="52"/>
      <c r="AF802" s="52"/>
      <c r="AG802" s="52"/>
      <c r="AH802" s="52"/>
      <c r="AI802" s="52"/>
    </row>
    <row r="803" spans="1:35" ht="15.7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49"/>
      <c r="AB803" s="52"/>
      <c r="AC803" s="52"/>
      <c r="AD803" s="52"/>
      <c r="AE803" s="52"/>
      <c r="AF803" s="52"/>
      <c r="AG803" s="52"/>
      <c r="AH803" s="52"/>
      <c r="AI803" s="52"/>
    </row>
    <row r="804" spans="1:35" ht="15.7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49"/>
      <c r="AB804" s="52"/>
      <c r="AC804" s="52"/>
      <c r="AD804" s="52"/>
      <c r="AE804" s="52"/>
      <c r="AF804" s="52"/>
      <c r="AG804" s="52"/>
      <c r="AH804" s="52"/>
      <c r="AI804" s="52"/>
    </row>
    <row r="805" spans="1:35" ht="15.7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49"/>
      <c r="AB805" s="52"/>
      <c r="AC805" s="52"/>
      <c r="AD805" s="52"/>
      <c r="AE805" s="52"/>
      <c r="AF805" s="52"/>
      <c r="AG805" s="52"/>
      <c r="AH805" s="52"/>
      <c r="AI805" s="52"/>
    </row>
    <row r="806" spans="1:35" ht="15.7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49"/>
      <c r="AB806" s="52"/>
      <c r="AC806" s="52"/>
      <c r="AD806" s="52"/>
      <c r="AE806" s="52"/>
      <c r="AF806" s="52"/>
      <c r="AG806" s="52"/>
      <c r="AH806" s="52"/>
      <c r="AI806" s="52"/>
    </row>
    <row r="807" spans="1:35" ht="15.7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49"/>
      <c r="AB807" s="52"/>
      <c r="AC807" s="52"/>
      <c r="AD807" s="52"/>
      <c r="AE807" s="52"/>
      <c r="AF807" s="52"/>
      <c r="AG807" s="52"/>
      <c r="AH807" s="52"/>
      <c r="AI807" s="52"/>
    </row>
    <row r="808" spans="1:35" ht="15.7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49"/>
      <c r="AB808" s="52"/>
      <c r="AC808" s="52"/>
      <c r="AD808" s="52"/>
      <c r="AE808" s="52"/>
      <c r="AF808" s="52"/>
      <c r="AG808" s="52"/>
      <c r="AH808" s="52"/>
      <c r="AI808" s="52"/>
    </row>
    <row r="809" spans="1:35" ht="15.7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49"/>
      <c r="AB809" s="52"/>
      <c r="AC809" s="52"/>
      <c r="AD809" s="52"/>
      <c r="AE809" s="52"/>
      <c r="AF809" s="52"/>
      <c r="AG809" s="52"/>
      <c r="AH809" s="52"/>
      <c r="AI809" s="52"/>
    </row>
    <row r="810" spans="1:35" ht="15.7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49"/>
      <c r="AB810" s="52"/>
      <c r="AC810" s="52"/>
      <c r="AD810" s="52"/>
      <c r="AE810" s="52"/>
      <c r="AF810" s="52"/>
      <c r="AG810" s="52"/>
      <c r="AH810" s="52"/>
      <c r="AI810" s="52"/>
    </row>
    <row r="811" spans="1:35" ht="15.7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49"/>
      <c r="AB811" s="52"/>
      <c r="AC811" s="52"/>
      <c r="AD811" s="52"/>
      <c r="AE811" s="52"/>
      <c r="AF811" s="52"/>
      <c r="AG811" s="52"/>
      <c r="AH811" s="52"/>
      <c r="AI811" s="52"/>
    </row>
    <row r="812" spans="1:35" ht="15.7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49"/>
      <c r="AB812" s="52"/>
      <c r="AC812" s="52"/>
      <c r="AD812" s="52"/>
      <c r="AE812" s="52"/>
      <c r="AF812" s="52"/>
      <c r="AG812" s="52"/>
      <c r="AH812" s="52"/>
      <c r="AI812" s="52"/>
    </row>
    <row r="813" spans="1:35" ht="15.7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49"/>
      <c r="AB813" s="52"/>
      <c r="AC813" s="52"/>
      <c r="AD813" s="52"/>
      <c r="AE813" s="52"/>
      <c r="AF813" s="52"/>
      <c r="AG813" s="52"/>
      <c r="AH813" s="52"/>
      <c r="AI813" s="52"/>
    </row>
    <row r="814" spans="1:35" ht="15.7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49"/>
      <c r="AB814" s="52"/>
      <c r="AC814" s="52"/>
      <c r="AD814" s="52"/>
      <c r="AE814" s="52"/>
      <c r="AF814" s="52"/>
      <c r="AG814" s="52"/>
      <c r="AH814" s="52"/>
      <c r="AI814" s="52"/>
    </row>
    <row r="815" spans="1:35" ht="15.7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49"/>
      <c r="AB815" s="52"/>
      <c r="AC815" s="52"/>
      <c r="AD815" s="52"/>
      <c r="AE815" s="52"/>
      <c r="AF815" s="52"/>
      <c r="AG815" s="52"/>
      <c r="AH815" s="52"/>
      <c r="AI815" s="52"/>
    </row>
    <row r="816" spans="1:35" ht="15.7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49"/>
      <c r="AB816" s="52"/>
      <c r="AC816" s="52"/>
      <c r="AD816" s="52"/>
      <c r="AE816" s="52"/>
      <c r="AF816" s="52"/>
      <c r="AG816" s="52"/>
      <c r="AH816" s="52"/>
      <c r="AI816" s="52"/>
    </row>
    <row r="817" spans="1:35" ht="15.7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49"/>
      <c r="AB817" s="52"/>
      <c r="AC817" s="52"/>
      <c r="AD817" s="52"/>
      <c r="AE817" s="52"/>
      <c r="AF817" s="52"/>
      <c r="AG817" s="52"/>
      <c r="AH817" s="52"/>
      <c r="AI817" s="52"/>
    </row>
    <row r="818" spans="1:35" ht="15.7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49"/>
      <c r="AB818" s="52"/>
      <c r="AC818" s="52"/>
      <c r="AD818" s="52"/>
      <c r="AE818" s="52"/>
      <c r="AF818" s="52"/>
      <c r="AG818" s="52"/>
      <c r="AH818" s="52"/>
      <c r="AI818" s="52"/>
    </row>
    <row r="819" spans="1:35" ht="15.7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49"/>
      <c r="AB819" s="52"/>
      <c r="AC819" s="52"/>
      <c r="AD819" s="52"/>
      <c r="AE819" s="52"/>
      <c r="AF819" s="52"/>
      <c r="AG819" s="52"/>
      <c r="AH819" s="52"/>
      <c r="AI819" s="52"/>
    </row>
    <row r="820" spans="1:35" ht="15.7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49"/>
      <c r="AB820" s="52"/>
      <c r="AC820" s="52"/>
      <c r="AD820" s="52"/>
      <c r="AE820" s="52"/>
      <c r="AF820" s="52"/>
      <c r="AG820" s="52"/>
      <c r="AH820" s="52"/>
      <c r="AI820" s="52"/>
    </row>
    <row r="821" spans="1:35" ht="15.7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49"/>
      <c r="AB821" s="52"/>
      <c r="AC821" s="52"/>
      <c r="AD821" s="52"/>
      <c r="AE821" s="52"/>
      <c r="AF821" s="52"/>
      <c r="AG821" s="52"/>
      <c r="AH821" s="52"/>
      <c r="AI821" s="52"/>
    </row>
    <row r="822" spans="1:35" ht="15.7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49"/>
      <c r="AB822" s="52"/>
      <c r="AC822" s="52"/>
      <c r="AD822" s="52"/>
      <c r="AE822" s="52"/>
      <c r="AF822" s="52"/>
      <c r="AG822" s="52"/>
      <c r="AH822" s="52"/>
      <c r="AI822" s="52"/>
    </row>
    <row r="823" spans="1:35" ht="15.7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49"/>
      <c r="AB823" s="52"/>
      <c r="AC823" s="52"/>
      <c r="AD823" s="52"/>
      <c r="AE823" s="52"/>
      <c r="AF823" s="52"/>
      <c r="AG823" s="52"/>
      <c r="AH823" s="52"/>
      <c r="AI823" s="52"/>
    </row>
    <row r="824" spans="1:35" ht="15.7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49"/>
      <c r="AB824" s="52"/>
      <c r="AC824" s="52"/>
      <c r="AD824" s="52"/>
      <c r="AE824" s="52"/>
      <c r="AF824" s="52"/>
      <c r="AG824" s="52"/>
      <c r="AH824" s="52"/>
      <c r="AI824" s="52"/>
    </row>
    <row r="825" spans="1:35" ht="15.7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49"/>
      <c r="AB825" s="52"/>
      <c r="AC825" s="52"/>
      <c r="AD825" s="52"/>
      <c r="AE825" s="52"/>
      <c r="AF825" s="52"/>
      <c r="AG825" s="52"/>
      <c r="AH825" s="52"/>
      <c r="AI825" s="52"/>
    </row>
    <row r="826" spans="1:35" ht="15.7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49"/>
      <c r="AB826" s="52"/>
      <c r="AC826" s="52"/>
      <c r="AD826" s="52"/>
      <c r="AE826" s="52"/>
      <c r="AF826" s="52"/>
      <c r="AG826" s="52"/>
      <c r="AH826" s="52"/>
      <c r="AI826" s="52"/>
    </row>
    <row r="827" spans="1:35" ht="15.7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49"/>
      <c r="AB827" s="52"/>
      <c r="AC827" s="52"/>
      <c r="AD827" s="52"/>
      <c r="AE827" s="52"/>
      <c r="AF827" s="52"/>
      <c r="AG827" s="52"/>
      <c r="AH827" s="52"/>
      <c r="AI827" s="52"/>
    </row>
    <row r="828" spans="1:35" ht="15.7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49"/>
      <c r="AB828" s="52"/>
      <c r="AC828" s="52"/>
      <c r="AD828" s="52"/>
      <c r="AE828" s="52"/>
      <c r="AF828" s="52"/>
      <c r="AG828" s="52"/>
      <c r="AH828" s="52"/>
      <c r="AI828" s="52"/>
    </row>
    <row r="829" spans="1:35" ht="15.7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49"/>
      <c r="AB829" s="52"/>
      <c r="AC829" s="52"/>
      <c r="AD829" s="52"/>
      <c r="AE829" s="52"/>
      <c r="AF829" s="52"/>
      <c r="AG829" s="52"/>
      <c r="AH829" s="52"/>
      <c r="AI829" s="52"/>
    </row>
    <row r="830" spans="1:35" ht="15.7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49"/>
      <c r="AB830" s="52"/>
      <c r="AC830" s="52"/>
      <c r="AD830" s="52"/>
      <c r="AE830" s="52"/>
      <c r="AF830" s="52"/>
      <c r="AG830" s="52"/>
      <c r="AH830" s="52"/>
      <c r="AI830" s="52"/>
    </row>
    <row r="831" spans="1:35" ht="15.7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49"/>
      <c r="AB831" s="52"/>
      <c r="AC831" s="52"/>
      <c r="AD831" s="52"/>
      <c r="AE831" s="52"/>
      <c r="AF831" s="52"/>
      <c r="AG831" s="52"/>
      <c r="AH831" s="52"/>
      <c r="AI831" s="52"/>
    </row>
    <row r="832" spans="1:35" ht="15.7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49"/>
      <c r="AB832" s="52"/>
      <c r="AC832" s="52"/>
      <c r="AD832" s="52"/>
      <c r="AE832" s="52"/>
      <c r="AF832" s="52"/>
      <c r="AG832" s="52"/>
      <c r="AH832" s="52"/>
      <c r="AI832" s="52"/>
    </row>
    <row r="833" spans="1:35" ht="15.7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49"/>
      <c r="AB833" s="52"/>
      <c r="AC833" s="52"/>
      <c r="AD833" s="52"/>
      <c r="AE833" s="52"/>
      <c r="AF833" s="52"/>
      <c r="AG833" s="52"/>
      <c r="AH833" s="52"/>
      <c r="AI833" s="52"/>
    </row>
    <row r="834" spans="1:35" ht="15.7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49"/>
      <c r="AB834" s="52"/>
      <c r="AC834" s="52"/>
      <c r="AD834" s="52"/>
      <c r="AE834" s="52"/>
      <c r="AF834" s="52"/>
      <c r="AG834" s="52"/>
      <c r="AH834" s="52"/>
      <c r="AI834" s="52"/>
    </row>
    <row r="835" spans="1:35" ht="15.7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49"/>
      <c r="AB835" s="52"/>
      <c r="AC835" s="52"/>
      <c r="AD835" s="52"/>
      <c r="AE835" s="52"/>
      <c r="AF835" s="52"/>
      <c r="AG835" s="52"/>
      <c r="AH835" s="52"/>
      <c r="AI835" s="52"/>
    </row>
    <row r="836" spans="1:35" ht="15.7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49"/>
      <c r="AB836" s="52"/>
      <c r="AC836" s="52"/>
      <c r="AD836" s="52"/>
      <c r="AE836" s="52"/>
      <c r="AF836" s="52"/>
      <c r="AG836" s="52"/>
      <c r="AH836" s="52"/>
      <c r="AI836" s="52"/>
    </row>
    <row r="837" spans="1:35" ht="15.7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49"/>
      <c r="AB837" s="52"/>
      <c r="AC837" s="52"/>
      <c r="AD837" s="52"/>
      <c r="AE837" s="52"/>
      <c r="AF837" s="52"/>
      <c r="AG837" s="52"/>
      <c r="AH837" s="52"/>
      <c r="AI837" s="52"/>
    </row>
    <row r="838" spans="1:35" ht="15.7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49"/>
      <c r="AB838" s="52"/>
      <c r="AC838" s="52"/>
      <c r="AD838" s="52"/>
      <c r="AE838" s="52"/>
      <c r="AF838" s="52"/>
      <c r="AG838" s="52"/>
      <c r="AH838" s="52"/>
      <c r="AI838" s="52"/>
    </row>
    <row r="839" spans="1:35" ht="15.7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49"/>
      <c r="AB839" s="52"/>
      <c r="AC839" s="52"/>
      <c r="AD839" s="52"/>
      <c r="AE839" s="52"/>
      <c r="AF839" s="52"/>
      <c r="AG839" s="52"/>
      <c r="AH839" s="52"/>
      <c r="AI839" s="52"/>
    </row>
    <row r="840" spans="1:35" ht="15.7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49"/>
      <c r="AB840" s="52"/>
      <c r="AC840" s="52"/>
      <c r="AD840" s="52"/>
      <c r="AE840" s="52"/>
      <c r="AF840" s="52"/>
      <c r="AG840" s="52"/>
      <c r="AH840" s="52"/>
      <c r="AI840" s="52"/>
    </row>
    <row r="841" spans="1:35" ht="15.7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49"/>
      <c r="AB841" s="52"/>
      <c r="AC841" s="52"/>
      <c r="AD841" s="52"/>
      <c r="AE841" s="52"/>
      <c r="AF841" s="52"/>
      <c r="AG841" s="52"/>
      <c r="AH841" s="52"/>
      <c r="AI841" s="52"/>
    </row>
    <row r="842" spans="1:35" ht="15.7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49"/>
      <c r="AB842" s="52"/>
      <c r="AC842" s="52"/>
      <c r="AD842" s="52"/>
      <c r="AE842" s="52"/>
      <c r="AF842" s="52"/>
      <c r="AG842" s="52"/>
      <c r="AH842" s="52"/>
      <c r="AI842" s="52"/>
    </row>
    <row r="843" spans="1:35" ht="15.7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49"/>
      <c r="AB843" s="52"/>
      <c r="AC843" s="52"/>
      <c r="AD843" s="52"/>
      <c r="AE843" s="52"/>
      <c r="AF843" s="52"/>
      <c r="AG843" s="52"/>
      <c r="AH843" s="52"/>
      <c r="AI843" s="52"/>
    </row>
    <row r="844" spans="1:35" ht="15.7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49"/>
      <c r="AB844" s="52"/>
      <c r="AC844" s="52"/>
      <c r="AD844" s="52"/>
      <c r="AE844" s="52"/>
      <c r="AF844" s="52"/>
      <c r="AG844" s="52"/>
      <c r="AH844" s="52"/>
      <c r="AI844" s="52"/>
    </row>
    <row r="845" spans="1:35" ht="15.7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49"/>
      <c r="AB845" s="52"/>
      <c r="AC845" s="52"/>
      <c r="AD845" s="52"/>
      <c r="AE845" s="52"/>
      <c r="AF845" s="52"/>
      <c r="AG845" s="52"/>
      <c r="AH845" s="52"/>
      <c r="AI845" s="52"/>
    </row>
    <row r="846" spans="1:35" ht="15.7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49"/>
      <c r="AB846" s="52"/>
      <c r="AC846" s="52"/>
      <c r="AD846" s="52"/>
      <c r="AE846" s="52"/>
      <c r="AF846" s="52"/>
      <c r="AG846" s="52"/>
      <c r="AH846" s="52"/>
      <c r="AI846" s="52"/>
    </row>
    <row r="847" spans="1:35" ht="15.7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49"/>
      <c r="AB847" s="52"/>
      <c r="AC847" s="52"/>
      <c r="AD847" s="52"/>
      <c r="AE847" s="52"/>
      <c r="AF847" s="52"/>
      <c r="AG847" s="52"/>
      <c r="AH847" s="52"/>
      <c r="AI847" s="52"/>
    </row>
    <row r="848" spans="1:35" ht="15.7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49"/>
      <c r="AB848" s="52"/>
      <c r="AC848" s="52"/>
      <c r="AD848" s="52"/>
      <c r="AE848" s="52"/>
      <c r="AF848" s="52"/>
      <c r="AG848" s="52"/>
      <c r="AH848" s="52"/>
      <c r="AI848" s="52"/>
    </row>
    <row r="849" spans="1:35" ht="15.7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49"/>
      <c r="AB849" s="52"/>
      <c r="AC849" s="52"/>
      <c r="AD849" s="52"/>
      <c r="AE849" s="52"/>
      <c r="AF849" s="52"/>
      <c r="AG849" s="52"/>
      <c r="AH849" s="52"/>
      <c r="AI849" s="52"/>
    </row>
    <row r="850" spans="1:35" ht="15.7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49"/>
      <c r="AB850" s="52"/>
      <c r="AC850" s="52"/>
      <c r="AD850" s="52"/>
      <c r="AE850" s="52"/>
      <c r="AF850" s="52"/>
      <c r="AG850" s="52"/>
      <c r="AH850" s="52"/>
      <c r="AI850" s="52"/>
    </row>
    <row r="851" spans="1:35" ht="15.7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49"/>
      <c r="AB851" s="52"/>
      <c r="AC851" s="52"/>
      <c r="AD851" s="52"/>
      <c r="AE851" s="52"/>
      <c r="AF851" s="52"/>
      <c r="AG851" s="52"/>
      <c r="AH851" s="52"/>
      <c r="AI851" s="52"/>
    </row>
    <row r="852" spans="1:35" ht="15.7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49"/>
      <c r="AB852" s="52"/>
      <c r="AC852" s="52"/>
      <c r="AD852" s="52"/>
      <c r="AE852" s="52"/>
      <c r="AF852" s="52"/>
      <c r="AG852" s="52"/>
      <c r="AH852" s="52"/>
      <c r="AI852" s="52"/>
    </row>
    <row r="853" spans="1:35" ht="15.7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49"/>
      <c r="AB853" s="52"/>
      <c r="AC853" s="52"/>
      <c r="AD853" s="52"/>
      <c r="AE853" s="52"/>
      <c r="AF853" s="52"/>
      <c r="AG853" s="52"/>
      <c r="AH853" s="52"/>
      <c r="AI853" s="52"/>
    </row>
    <row r="854" spans="1:35" ht="15.7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49"/>
      <c r="AB854" s="52"/>
      <c r="AC854" s="52"/>
      <c r="AD854" s="52"/>
      <c r="AE854" s="52"/>
      <c r="AF854" s="52"/>
      <c r="AG854" s="52"/>
      <c r="AH854" s="52"/>
      <c r="AI854" s="52"/>
    </row>
    <row r="855" spans="1:35" ht="15.7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49"/>
      <c r="AB855" s="52"/>
      <c r="AC855" s="52"/>
      <c r="AD855" s="52"/>
      <c r="AE855" s="52"/>
      <c r="AF855" s="52"/>
      <c r="AG855" s="52"/>
      <c r="AH855" s="52"/>
      <c r="AI855" s="52"/>
    </row>
    <row r="856" spans="1:35" ht="15.7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49"/>
      <c r="AB856" s="52"/>
      <c r="AC856" s="52"/>
      <c r="AD856" s="52"/>
      <c r="AE856" s="52"/>
      <c r="AF856" s="52"/>
      <c r="AG856" s="52"/>
      <c r="AH856" s="52"/>
      <c r="AI856" s="52"/>
    </row>
    <row r="857" spans="1:35" ht="15.7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49"/>
      <c r="AB857" s="52"/>
      <c r="AC857" s="52"/>
      <c r="AD857" s="52"/>
      <c r="AE857" s="52"/>
      <c r="AF857" s="52"/>
      <c r="AG857" s="52"/>
      <c r="AH857" s="52"/>
      <c r="AI857" s="52"/>
    </row>
    <row r="858" spans="1:35" ht="15.7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49"/>
      <c r="AB858" s="52"/>
      <c r="AC858" s="52"/>
      <c r="AD858" s="52"/>
      <c r="AE858" s="52"/>
      <c r="AF858" s="52"/>
      <c r="AG858" s="52"/>
      <c r="AH858" s="52"/>
      <c r="AI858" s="52"/>
    </row>
    <row r="859" spans="1:35" ht="15.7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49"/>
      <c r="AB859" s="52"/>
      <c r="AC859" s="52"/>
      <c r="AD859" s="52"/>
      <c r="AE859" s="52"/>
      <c r="AF859" s="52"/>
      <c r="AG859" s="52"/>
      <c r="AH859" s="52"/>
      <c r="AI859" s="52"/>
    </row>
    <row r="860" spans="1:35" ht="15.7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49"/>
      <c r="AB860" s="52"/>
      <c r="AC860" s="52"/>
      <c r="AD860" s="52"/>
      <c r="AE860" s="52"/>
      <c r="AF860" s="52"/>
      <c r="AG860" s="52"/>
      <c r="AH860" s="52"/>
      <c r="AI860" s="52"/>
    </row>
    <row r="861" spans="1:35" ht="15.7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49"/>
      <c r="AB861" s="52"/>
      <c r="AC861" s="52"/>
      <c r="AD861" s="52"/>
      <c r="AE861" s="52"/>
      <c r="AF861" s="52"/>
      <c r="AG861" s="52"/>
      <c r="AH861" s="52"/>
      <c r="AI861" s="52"/>
    </row>
    <row r="862" spans="1:35" ht="15.7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49"/>
      <c r="AB862" s="52"/>
      <c r="AC862" s="52"/>
      <c r="AD862" s="52"/>
      <c r="AE862" s="52"/>
      <c r="AF862" s="52"/>
      <c r="AG862" s="52"/>
      <c r="AH862" s="52"/>
      <c r="AI862" s="52"/>
    </row>
    <row r="863" spans="1:35" ht="15.7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49"/>
      <c r="AB863" s="52"/>
      <c r="AC863" s="52"/>
      <c r="AD863" s="52"/>
      <c r="AE863" s="52"/>
      <c r="AF863" s="52"/>
      <c r="AG863" s="52"/>
      <c r="AH863" s="52"/>
      <c r="AI863" s="52"/>
    </row>
    <row r="864" spans="1:35" ht="15.7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49"/>
      <c r="AB864" s="52"/>
      <c r="AC864" s="52"/>
      <c r="AD864" s="52"/>
      <c r="AE864" s="52"/>
      <c r="AF864" s="52"/>
      <c r="AG864" s="52"/>
      <c r="AH864" s="52"/>
      <c r="AI864" s="52"/>
    </row>
    <row r="865" spans="1:35" ht="15.7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49"/>
      <c r="AB865" s="52"/>
      <c r="AC865" s="52"/>
      <c r="AD865" s="52"/>
      <c r="AE865" s="52"/>
      <c r="AF865" s="52"/>
      <c r="AG865" s="52"/>
      <c r="AH865" s="52"/>
      <c r="AI865" s="52"/>
    </row>
    <row r="866" spans="1:35" ht="15.7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49"/>
      <c r="AB866" s="52"/>
      <c r="AC866" s="52"/>
      <c r="AD866" s="52"/>
      <c r="AE866" s="52"/>
      <c r="AF866" s="52"/>
      <c r="AG866" s="52"/>
      <c r="AH866" s="52"/>
      <c r="AI866" s="52"/>
    </row>
    <row r="867" spans="1:35" ht="15.7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49"/>
      <c r="AB867" s="52"/>
      <c r="AC867" s="52"/>
      <c r="AD867" s="52"/>
      <c r="AE867" s="52"/>
      <c r="AF867" s="52"/>
      <c r="AG867" s="52"/>
      <c r="AH867" s="52"/>
      <c r="AI867" s="52"/>
    </row>
    <row r="868" spans="1:35" ht="15.7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49"/>
      <c r="AB868" s="52"/>
      <c r="AC868" s="52"/>
      <c r="AD868" s="52"/>
      <c r="AE868" s="52"/>
      <c r="AF868" s="52"/>
      <c r="AG868" s="52"/>
      <c r="AH868" s="52"/>
      <c r="AI868" s="52"/>
    </row>
    <row r="869" spans="1:35" ht="15.7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49"/>
      <c r="AB869" s="52"/>
      <c r="AC869" s="52"/>
      <c r="AD869" s="52"/>
      <c r="AE869" s="52"/>
      <c r="AF869" s="52"/>
      <c r="AG869" s="52"/>
      <c r="AH869" s="52"/>
      <c r="AI869" s="52"/>
    </row>
    <row r="870" spans="1:35" ht="15.7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49"/>
      <c r="AB870" s="52"/>
      <c r="AC870" s="52"/>
      <c r="AD870" s="52"/>
      <c r="AE870" s="52"/>
      <c r="AF870" s="52"/>
      <c r="AG870" s="52"/>
      <c r="AH870" s="52"/>
      <c r="AI870" s="52"/>
    </row>
    <row r="871" spans="1:35" ht="15.7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49"/>
      <c r="AB871" s="52"/>
      <c r="AC871" s="52"/>
      <c r="AD871" s="52"/>
      <c r="AE871" s="52"/>
      <c r="AF871" s="52"/>
      <c r="AG871" s="52"/>
      <c r="AH871" s="52"/>
      <c r="AI871" s="52"/>
    </row>
    <row r="872" spans="1:35" ht="15.7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49"/>
      <c r="AB872" s="52"/>
      <c r="AC872" s="52"/>
      <c r="AD872" s="52"/>
      <c r="AE872" s="52"/>
      <c r="AF872" s="52"/>
      <c r="AG872" s="52"/>
      <c r="AH872" s="52"/>
      <c r="AI872" s="52"/>
    </row>
    <row r="873" spans="1:35" ht="15.7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49"/>
      <c r="AB873" s="52"/>
      <c r="AC873" s="52"/>
      <c r="AD873" s="52"/>
      <c r="AE873" s="52"/>
      <c r="AF873" s="52"/>
      <c r="AG873" s="52"/>
      <c r="AH873" s="52"/>
      <c r="AI873" s="52"/>
    </row>
    <row r="874" spans="1:35" ht="15.7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49"/>
      <c r="AB874" s="52"/>
      <c r="AC874" s="52"/>
      <c r="AD874" s="52"/>
      <c r="AE874" s="52"/>
      <c r="AF874" s="52"/>
      <c r="AG874" s="52"/>
      <c r="AH874" s="52"/>
      <c r="AI874" s="52"/>
    </row>
    <row r="875" spans="1:35" ht="15.7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49"/>
      <c r="AB875" s="52"/>
      <c r="AC875" s="52"/>
      <c r="AD875" s="52"/>
      <c r="AE875" s="52"/>
      <c r="AF875" s="52"/>
      <c r="AG875" s="52"/>
      <c r="AH875" s="52"/>
      <c r="AI875" s="52"/>
    </row>
    <row r="876" spans="1:35" ht="15.7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49"/>
      <c r="AB876" s="52"/>
      <c r="AC876" s="52"/>
      <c r="AD876" s="52"/>
      <c r="AE876" s="52"/>
      <c r="AF876" s="52"/>
      <c r="AG876" s="52"/>
      <c r="AH876" s="52"/>
      <c r="AI876" s="52"/>
    </row>
    <row r="877" spans="1:35" ht="15.7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49"/>
      <c r="AB877" s="52"/>
      <c r="AC877" s="52"/>
      <c r="AD877" s="52"/>
      <c r="AE877" s="52"/>
      <c r="AF877" s="52"/>
      <c r="AG877" s="52"/>
      <c r="AH877" s="52"/>
      <c r="AI877" s="52"/>
    </row>
    <row r="878" spans="1:35" ht="15.7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49"/>
      <c r="AB878" s="52"/>
      <c r="AC878" s="52"/>
      <c r="AD878" s="52"/>
      <c r="AE878" s="52"/>
      <c r="AF878" s="52"/>
      <c r="AG878" s="52"/>
      <c r="AH878" s="52"/>
      <c r="AI878" s="52"/>
    </row>
    <row r="879" spans="1:35" ht="15.7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49"/>
      <c r="AB879" s="52"/>
      <c r="AC879" s="52"/>
      <c r="AD879" s="52"/>
      <c r="AE879" s="52"/>
      <c r="AF879" s="52"/>
      <c r="AG879" s="52"/>
      <c r="AH879" s="52"/>
      <c r="AI879" s="52"/>
    </row>
    <row r="880" spans="1:35" ht="15.7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49"/>
      <c r="AB880" s="52"/>
      <c r="AC880" s="52"/>
      <c r="AD880" s="52"/>
      <c r="AE880" s="52"/>
      <c r="AF880" s="52"/>
      <c r="AG880" s="52"/>
      <c r="AH880" s="52"/>
      <c r="AI880" s="52"/>
    </row>
    <row r="881" spans="1:35" ht="15.7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49"/>
      <c r="AB881" s="52"/>
      <c r="AC881" s="52"/>
      <c r="AD881" s="52"/>
      <c r="AE881" s="52"/>
      <c r="AF881" s="52"/>
      <c r="AG881" s="52"/>
      <c r="AH881" s="52"/>
      <c r="AI881" s="52"/>
    </row>
    <row r="882" spans="1:35" ht="15.7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49"/>
      <c r="AB882" s="52"/>
      <c r="AC882" s="52"/>
      <c r="AD882" s="52"/>
      <c r="AE882" s="52"/>
      <c r="AF882" s="52"/>
      <c r="AG882" s="52"/>
      <c r="AH882" s="52"/>
      <c r="AI882" s="52"/>
    </row>
    <row r="883" spans="1:35" ht="15.7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49"/>
      <c r="AB883" s="52"/>
      <c r="AC883" s="52"/>
      <c r="AD883" s="52"/>
      <c r="AE883" s="52"/>
      <c r="AF883" s="52"/>
      <c r="AG883" s="52"/>
      <c r="AH883" s="52"/>
      <c r="AI883" s="52"/>
    </row>
    <row r="884" spans="1:35" ht="15.7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49"/>
      <c r="AB884" s="52"/>
      <c r="AC884" s="52"/>
      <c r="AD884" s="52"/>
      <c r="AE884" s="52"/>
      <c r="AF884" s="52"/>
      <c r="AG884" s="52"/>
      <c r="AH884" s="52"/>
      <c r="AI884" s="52"/>
    </row>
    <row r="885" spans="1:35" ht="15.7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49"/>
      <c r="AB885" s="52"/>
      <c r="AC885" s="52"/>
      <c r="AD885" s="52"/>
      <c r="AE885" s="52"/>
      <c r="AF885" s="52"/>
      <c r="AG885" s="52"/>
      <c r="AH885" s="52"/>
      <c r="AI885" s="52"/>
    </row>
    <row r="886" spans="1:35" ht="15.7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49"/>
      <c r="AB886" s="52"/>
      <c r="AC886" s="52"/>
      <c r="AD886" s="52"/>
      <c r="AE886" s="52"/>
      <c r="AF886" s="52"/>
      <c r="AG886" s="52"/>
      <c r="AH886" s="52"/>
      <c r="AI886" s="52"/>
    </row>
    <row r="887" spans="1:35" ht="15.7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49"/>
      <c r="AB887" s="52"/>
      <c r="AC887" s="52"/>
      <c r="AD887" s="52"/>
      <c r="AE887" s="52"/>
      <c r="AF887" s="52"/>
      <c r="AG887" s="52"/>
      <c r="AH887" s="52"/>
      <c r="AI887" s="52"/>
    </row>
    <row r="888" spans="1:35" ht="15.7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49"/>
      <c r="AB888" s="52"/>
      <c r="AC888" s="52"/>
      <c r="AD888" s="52"/>
      <c r="AE888" s="52"/>
      <c r="AF888" s="52"/>
      <c r="AG888" s="52"/>
      <c r="AH888" s="52"/>
      <c r="AI888" s="52"/>
    </row>
    <row r="889" spans="1:35" ht="15.7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49"/>
      <c r="AB889" s="52"/>
      <c r="AC889" s="52"/>
      <c r="AD889" s="52"/>
      <c r="AE889" s="52"/>
      <c r="AF889" s="52"/>
      <c r="AG889" s="52"/>
      <c r="AH889" s="52"/>
      <c r="AI889" s="52"/>
    </row>
    <row r="890" spans="1:35" ht="15.7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49"/>
      <c r="AB890" s="52"/>
      <c r="AC890" s="52"/>
      <c r="AD890" s="52"/>
      <c r="AE890" s="52"/>
      <c r="AF890" s="52"/>
      <c r="AG890" s="52"/>
      <c r="AH890" s="52"/>
      <c r="AI890" s="52"/>
    </row>
    <row r="891" spans="1:35" ht="15.7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49"/>
      <c r="AB891" s="52"/>
      <c r="AC891" s="52"/>
      <c r="AD891" s="52"/>
      <c r="AE891" s="52"/>
      <c r="AF891" s="52"/>
      <c r="AG891" s="52"/>
      <c r="AH891" s="52"/>
      <c r="AI891" s="52"/>
    </row>
    <row r="892" spans="1:35" ht="15.7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49"/>
      <c r="AB892" s="52"/>
      <c r="AC892" s="52"/>
      <c r="AD892" s="52"/>
      <c r="AE892" s="52"/>
      <c r="AF892" s="52"/>
      <c r="AG892" s="52"/>
      <c r="AH892" s="52"/>
      <c r="AI892" s="52"/>
    </row>
    <row r="893" spans="1:35" ht="15.7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49"/>
      <c r="AB893" s="52"/>
      <c r="AC893" s="52"/>
      <c r="AD893" s="52"/>
      <c r="AE893" s="52"/>
      <c r="AF893" s="52"/>
      <c r="AG893" s="52"/>
      <c r="AH893" s="52"/>
      <c r="AI893" s="52"/>
    </row>
    <row r="894" spans="1:35" ht="15.7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49"/>
      <c r="AB894" s="52"/>
      <c r="AC894" s="52"/>
      <c r="AD894" s="52"/>
      <c r="AE894" s="52"/>
      <c r="AF894" s="52"/>
      <c r="AG894" s="52"/>
      <c r="AH894" s="52"/>
      <c r="AI894" s="52"/>
    </row>
    <row r="895" spans="1:35" ht="15.7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49"/>
      <c r="AB895" s="52"/>
      <c r="AC895" s="52"/>
      <c r="AD895" s="52"/>
      <c r="AE895" s="52"/>
      <c r="AF895" s="52"/>
      <c r="AG895" s="52"/>
      <c r="AH895" s="52"/>
      <c r="AI895" s="52"/>
    </row>
    <row r="896" spans="1:35" ht="15.7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49"/>
      <c r="AB896" s="52"/>
      <c r="AC896" s="52"/>
      <c r="AD896" s="52"/>
      <c r="AE896" s="52"/>
      <c r="AF896" s="52"/>
      <c r="AG896" s="52"/>
      <c r="AH896" s="52"/>
      <c r="AI896" s="52"/>
    </row>
    <row r="897" spans="1:35" ht="15.7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49"/>
      <c r="AB897" s="52"/>
      <c r="AC897" s="52"/>
      <c r="AD897" s="52"/>
      <c r="AE897" s="52"/>
      <c r="AF897" s="52"/>
      <c r="AG897" s="52"/>
      <c r="AH897" s="52"/>
      <c r="AI897" s="52"/>
    </row>
    <row r="898" spans="1:35" ht="15.7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49"/>
      <c r="AB898" s="52"/>
      <c r="AC898" s="52"/>
      <c r="AD898" s="52"/>
      <c r="AE898" s="52"/>
      <c r="AF898" s="52"/>
      <c r="AG898" s="52"/>
      <c r="AH898" s="52"/>
      <c r="AI898" s="52"/>
    </row>
    <row r="899" spans="1:35" ht="15.7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49"/>
      <c r="AB899" s="52"/>
      <c r="AC899" s="52"/>
      <c r="AD899" s="52"/>
      <c r="AE899" s="52"/>
      <c r="AF899" s="52"/>
      <c r="AG899" s="52"/>
      <c r="AH899" s="52"/>
      <c r="AI899" s="52"/>
    </row>
    <row r="900" spans="1:35" ht="15.7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49"/>
      <c r="AB900" s="52"/>
      <c r="AC900" s="52"/>
      <c r="AD900" s="52"/>
      <c r="AE900" s="52"/>
      <c r="AF900" s="52"/>
      <c r="AG900" s="52"/>
      <c r="AH900" s="52"/>
      <c r="AI900" s="52"/>
    </row>
    <row r="901" spans="1:35" ht="15.7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49"/>
      <c r="AB901" s="52"/>
      <c r="AC901" s="52"/>
      <c r="AD901" s="52"/>
      <c r="AE901" s="52"/>
      <c r="AF901" s="52"/>
      <c r="AG901" s="52"/>
      <c r="AH901" s="52"/>
      <c r="AI901" s="52"/>
    </row>
    <row r="902" spans="1:35" ht="15.7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49"/>
      <c r="AB902" s="52"/>
      <c r="AC902" s="52"/>
      <c r="AD902" s="52"/>
      <c r="AE902" s="52"/>
      <c r="AF902" s="52"/>
      <c r="AG902" s="52"/>
      <c r="AH902" s="52"/>
      <c r="AI902" s="52"/>
    </row>
    <row r="903" spans="1:35" ht="15.7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49"/>
      <c r="AB903" s="52"/>
      <c r="AC903" s="52"/>
      <c r="AD903" s="52"/>
      <c r="AE903" s="52"/>
      <c r="AF903" s="52"/>
      <c r="AG903" s="52"/>
      <c r="AH903" s="52"/>
      <c r="AI903" s="52"/>
    </row>
    <row r="904" spans="1:35" ht="15.7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49"/>
      <c r="AB904" s="52"/>
      <c r="AC904" s="52"/>
      <c r="AD904" s="52"/>
      <c r="AE904" s="52"/>
      <c r="AF904" s="52"/>
      <c r="AG904" s="52"/>
      <c r="AH904" s="52"/>
      <c r="AI904" s="52"/>
    </row>
    <row r="905" spans="1:35" ht="15.7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49"/>
      <c r="AB905" s="52"/>
      <c r="AC905" s="52"/>
      <c r="AD905" s="52"/>
      <c r="AE905" s="52"/>
      <c r="AF905" s="52"/>
      <c r="AG905" s="52"/>
      <c r="AH905" s="52"/>
      <c r="AI905" s="52"/>
    </row>
    <row r="906" spans="1:35" ht="15.7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49"/>
      <c r="AB906" s="52"/>
      <c r="AC906" s="52"/>
      <c r="AD906" s="52"/>
      <c r="AE906" s="52"/>
      <c r="AF906" s="52"/>
      <c r="AG906" s="52"/>
      <c r="AH906" s="52"/>
      <c r="AI906" s="52"/>
    </row>
    <row r="907" spans="1:35" ht="15.7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49"/>
      <c r="AB907" s="52"/>
      <c r="AC907" s="52"/>
      <c r="AD907" s="52"/>
      <c r="AE907" s="52"/>
      <c r="AF907" s="52"/>
      <c r="AG907" s="52"/>
      <c r="AH907" s="52"/>
      <c r="AI907" s="52"/>
    </row>
    <row r="908" spans="1:35" ht="15.7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49"/>
      <c r="AB908" s="52"/>
      <c r="AC908" s="52"/>
      <c r="AD908" s="52"/>
      <c r="AE908" s="52"/>
      <c r="AF908" s="52"/>
      <c r="AG908" s="52"/>
      <c r="AH908" s="52"/>
      <c r="AI908" s="52"/>
    </row>
    <row r="909" spans="1:35" ht="15.7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49"/>
      <c r="AB909" s="52"/>
      <c r="AC909" s="52"/>
      <c r="AD909" s="52"/>
      <c r="AE909" s="52"/>
      <c r="AF909" s="52"/>
      <c r="AG909" s="52"/>
      <c r="AH909" s="52"/>
      <c r="AI909" s="52"/>
    </row>
    <row r="910" spans="1:35" ht="15.7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49"/>
      <c r="AB910" s="52"/>
      <c r="AC910" s="52"/>
      <c r="AD910" s="52"/>
      <c r="AE910" s="52"/>
      <c r="AF910" s="52"/>
      <c r="AG910" s="52"/>
      <c r="AH910" s="52"/>
      <c r="AI910" s="52"/>
    </row>
    <row r="911" spans="1:35" ht="15.7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49"/>
      <c r="AB911" s="52"/>
      <c r="AC911" s="52"/>
      <c r="AD911" s="52"/>
      <c r="AE911" s="52"/>
      <c r="AF911" s="52"/>
      <c r="AG911" s="52"/>
      <c r="AH911" s="52"/>
      <c r="AI911" s="52"/>
    </row>
    <row r="912" spans="1:35" ht="15.7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49"/>
      <c r="AB912" s="52"/>
      <c r="AC912" s="52"/>
      <c r="AD912" s="52"/>
      <c r="AE912" s="52"/>
      <c r="AF912" s="52"/>
      <c r="AG912" s="52"/>
      <c r="AH912" s="52"/>
      <c r="AI912" s="52"/>
    </row>
    <row r="913" spans="1:35" ht="15.7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49"/>
      <c r="AB913" s="52"/>
      <c r="AC913" s="52"/>
      <c r="AD913" s="52"/>
      <c r="AE913" s="52"/>
      <c r="AF913" s="52"/>
      <c r="AG913" s="52"/>
      <c r="AH913" s="52"/>
      <c r="AI913" s="52"/>
    </row>
    <row r="914" spans="1:35" ht="15.7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49"/>
      <c r="AB914" s="52"/>
      <c r="AC914" s="52"/>
      <c r="AD914" s="52"/>
      <c r="AE914" s="52"/>
      <c r="AF914" s="52"/>
      <c r="AG914" s="52"/>
      <c r="AH914" s="52"/>
      <c r="AI914" s="52"/>
    </row>
    <row r="915" spans="1:35" ht="15.7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49"/>
      <c r="AB915" s="52"/>
      <c r="AC915" s="52"/>
      <c r="AD915" s="52"/>
      <c r="AE915" s="52"/>
      <c r="AF915" s="52"/>
      <c r="AG915" s="52"/>
      <c r="AH915" s="52"/>
      <c r="AI915" s="52"/>
    </row>
    <row r="916" spans="1:35" ht="15.7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49"/>
      <c r="AB916" s="52"/>
      <c r="AC916" s="52"/>
      <c r="AD916" s="52"/>
      <c r="AE916" s="52"/>
      <c r="AF916" s="52"/>
      <c r="AG916" s="52"/>
      <c r="AH916" s="52"/>
      <c r="AI916" s="52"/>
    </row>
    <row r="917" spans="1:35" ht="15.7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49"/>
      <c r="AB917" s="52"/>
      <c r="AC917" s="52"/>
      <c r="AD917" s="52"/>
      <c r="AE917" s="52"/>
      <c r="AF917" s="52"/>
      <c r="AG917" s="52"/>
      <c r="AH917" s="52"/>
      <c r="AI917" s="52"/>
    </row>
    <row r="918" spans="1:35" ht="15.7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49"/>
      <c r="AB918" s="52"/>
      <c r="AC918" s="52"/>
      <c r="AD918" s="52"/>
      <c r="AE918" s="52"/>
      <c r="AF918" s="52"/>
      <c r="AG918" s="52"/>
      <c r="AH918" s="52"/>
      <c r="AI918" s="52"/>
    </row>
    <row r="919" spans="1:35" ht="15.7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49"/>
      <c r="AB919" s="52"/>
      <c r="AC919" s="52"/>
      <c r="AD919" s="52"/>
      <c r="AE919" s="52"/>
      <c r="AF919" s="52"/>
      <c r="AG919" s="52"/>
      <c r="AH919" s="52"/>
      <c r="AI919" s="52"/>
    </row>
    <row r="920" spans="1:35" ht="15.7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49"/>
      <c r="AB920" s="52"/>
      <c r="AC920" s="52"/>
      <c r="AD920" s="52"/>
      <c r="AE920" s="52"/>
      <c r="AF920" s="52"/>
      <c r="AG920" s="52"/>
      <c r="AH920" s="52"/>
      <c r="AI920" s="52"/>
    </row>
    <row r="921" spans="1:35" ht="15.7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49"/>
      <c r="AB921" s="52"/>
      <c r="AC921" s="52"/>
      <c r="AD921" s="52"/>
      <c r="AE921" s="52"/>
      <c r="AF921" s="52"/>
      <c r="AG921" s="52"/>
      <c r="AH921" s="52"/>
      <c r="AI921" s="52"/>
    </row>
    <row r="922" spans="1:35" ht="15.7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49"/>
      <c r="AB922" s="52"/>
      <c r="AC922" s="52"/>
      <c r="AD922" s="52"/>
      <c r="AE922" s="52"/>
      <c r="AF922" s="52"/>
      <c r="AG922" s="52"/>
      <c r="AH922" s="52"/>
      <c r="AI922" s="52"/>
    </row>
    <row r="923" spans="1:35" ht="15.7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49"/>
      <c r="AB923" s="52"/>
      <c r="AC923" s="52"/>
      <c r="AD923" s="52"/>
      <c r="AE923" s="52"/>
      <c r="AF923" s="52"/>
      <c r="AG923" s="52"/>
      <c r="AH923" s="52"/>
      <c r="AI923" s="52"/>
    </row>
    <row r="924" spans="1:35" ht="15.7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49"/>
      <c r="AB924" s="52"/>
      <c r="AC924" s="52"/>
      <c r="AD924" s="52"/>
      <c r="AE924" s="52"/>
      <c r="AF924" s="52"/>
      <c r="AG924" s="52"/>
      <c r="AH924" s="52"/>
      <c r="AI924" s="52"/>
    </row>
    <row r="925" spans="1:35" ht="15.7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49"/>
      <c r="AB925" s="52"/>
      <c r="AC925" s="52"/>
      <c r="AD925" s="52"/>
      <c r="AE925" s="52"/>
      <c r="AF925" s="52"/>
      <c r="AG925" s="52"/>
      <c r="AH925" s="52"/>
      <c r="AI925" s="52"/>
    </row>
    <row r="926" spans="1:35" ht="15.7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49"/>
      <c r="AB926" s="52"/>
      <c r="AC926" s="52"/>
      <c r="AD926" s="52"/>
      <c r="AE926" s="52"/>
      <c r="AF926" s="52"/>
      <c r="AG926" s="52"/>
      <c r="AH926" s="52"/>
      <c r="AI926" s="52"/>
    </row>
    <row r="927" spans="1:35" ht="15.7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49"/>
      <c r="AB927" s="52"/>
      <c r="AC927" s="52"/>
      <c r="AD927" s="52"/>
      <c r="AE927" s="52"/>
      <c r="AF927" s="52"/>
      <c r="AG927" s="52"/>
      <c r="AH927" s="52"/>
      <c r="AI927" s="52"/>
    </row>
    <row r="928" spans="1:35" ht="15.7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49"/>
      <c r="AB928" s="52"/>
      <c r="AC928" s="52"/>
      <c r="AD928" s="52"/>
      <c r="AE928" s="52"/>
      <c r="AF928" s="52"/>
      <c r="AG928" s="52"/>
      <c r="AH928" s="52"/>
      <c r="AI928" s="52"/>
    </row>
    <row r="929" spans="1:35" ht="15.7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49"/>
      <c r="AB929" s="52"/>
      <c r="AC929" s="52"/>
      <c r="AD929" s="52"/>
      <c r="AE929" s="52"/>
      <c r="AF929" s="52"/>
      <c r="AG929" s="52"/>
      <c r="AH929" s="52"/>
      <c r="AI929" s="52"/>
    </row>
    <row r="930" spans="1:35" ht="15.7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49"/>
      <c r="AB930" s="52"/>
      <c r="AC930" s="52"/>
      <c r="AD930" s="52"/>
      <c r="AE930" s="52"/>
      <c r="AF930" s="52"/>
      <c r="AG930" s="52"/>
      <c r="AH930" s="52"/>
      <c r="AI930" s="52"/>
    </row>
    <row r="931" spans="1:35" ht="15.7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49"/>
      <c r="AB931" s="52"/>
      <c r="AC931" s="52"/>
      <c r="AD931" s="52"/>
      <c r="AE931" s="52"/>
      <c r="AF931" s="52"/>
      <c r="AG931" s="52"/>
      <c r="AH931" s="52"/>
      <c r="AI931" s="52"/>
    </row>
    <row r="932" spans="1:35" ht="15.7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49"/>
      <c r="AB932" s="52"/>
      <c r="AC932" s="52"/>
      <c r="AD932" s="52"/>
      <c r="AE932" s="52"/>
      <c r="AF932" s="52"/>
      <c r="AG932" s="52"/>
      <c r="AH932" s="52"/>
      <c r="AI932" s="52"/>
    </row>
    <row r="933" spans="1:35" ht="15.7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49"/>
      <c r="AB933" s="52"/>
      <c r="AC933" s="52"/>
      <c r="AD933" s="52"/>
      <c r="AE933" s="52"/>
      <c r="AF933" s="52"/>
      <c r="AG933" s="52"/>
      <c r="AH933" s="52"/>
      <c r="AI933" s="52"/>
    </row>
    <row r="934" spans="1:35" ht="15.7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49"/>
      <c r="AB934" s="52"/>
      <c r="AC934" s="52"/>
      <c r="AD934" s="52"/>
      <c r="AE934" s="52"/>
      <c r="AF934" s="52"/>
      <c r="AG934" s="52"/>
      <c r="AH934" s="52"/>
      <c r="AI934" s="52"/>
    </row>
    <row r="935" spans="1:35" ht="15.7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49"/>
      <c r="AB935" s="52"/>
      <c r="AC935" s="52"/>
      <c r="AD935" s="52"/>
      <c r="AE935" s="52"/>
      <c r="AF935" s="52"/>
      <c r="AG935" s="52"/>
      <c r="AH935" s="52"/>
      <c r="AI935" s="52"/>
    </row>
    <row r="936" spans="1:35" ht="15.7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49"/>
      <c r="AB936" s="52"/>
      <c r="AC936" s="52"/>
      <c r="AD936" s="52"/>
      <c r="AE936" s="52"/>
      <c r="AF936" s="52"/>
      <c r="AG936" s="52"/>
      <c r="AH936" s="52"/>
      <c r="AI936" s="52"/>
    </row>
    <row r="937" spans="1:35" ht="15.7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49"/>
      <c r="AB937" s="52"/>
      <c r="AC937" s="52"/>
      <c r="AD937" s="52"/>
      <c r="AE937" s="52"/>
      <c r="AF937" s="52"/>
      <c r="AG937" s="52"/>
      <c r="AH937" s="52"/>
      <c r="AI937" s="52"/>
    </row>
    <row r="938" spans="1:35" ht="15.7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49"/>
      <c r="AB938" s="52"/>
      <c r="AC938" s="52"/>
      <c r="AD938" s="52"/>
      <c r="AE938" s="52"/>
      <c r="AF938" s="52"/>
      <c r="AG938" s="52"/>
      <c r="AH938" s="52"/>
      <c r="AI938" s="52"/>
    </row>
    <row r="939" spans="1:35" ht="15.7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49"/>
      <c r="AB939" s="52"/>
      <c r="AC939" s="52"/>
      <c r="AD939" s="52"/>
      <c r="AE939" s="52"/>
      <c r="AF939" s="52"/>
      <c r="AG939" s="52"/>
      <c r="AH939" s="52"/>
      <c r="AI939" s="52"/>
    </row>
    <row r="940" spans="1:35" ht="15.7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AG940" s="52"/>
      <c r="AH940" s="52"/>
      <c r="AI940" s="52"/>
    </row>
  </sheetData>
  <mergeCells count="20">
    <mergeCell ref="A7:AF7"/>
    <mergeCell ref="AC5:AC6"/>
    <mergeCell ref="AD5:AD6"/>
    <mergeCell ref="AE5:AE6"/>
    <mergeCell ref="AF5:AF6"/>
    <mergeCell ref="A1:AF1"/>
    <mergeCell ref="A2:AF2"/>
    <mergeCell ref="A3:AF3"/>
    <mergeCell ref="E5:G5"/>
    <mergeCell ref="H5:J5"/>
    <mergeCell ref="K5:M5"/>
    <mergeCell ref="N5:P5"/>
    <mergeCell ref="Q5:S5"/>
    <mergeCell ref="T5:V5"/>
    <mergeCell ref="W5:Y5"/>
    <mergeCell ref="Z5:AB5"/>
    <mergeCell ref="A5:A6"/>
    <mergeCell ref="B5:B6"/>
    <mergeCell ref="C5:C6"/>
    <mergeCell ref="D5:D6"/>
  </mergeCells>
  <printOptions horizontalCentered="1" verticalCentered="1"/>
  <pageMargins left="0.70866141732283505" right="0.70866141732283505" top="0.23" bottom="0.74803149606299202" header="0.25" footer="0.31496062992126"/>
  <pageSetup paperSize="9" scale="10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L58"/>
  <sheetViews>
    <sheetView view="pageBreakPreview" topLeftCell="A31" zoomScale="50" zoomScaleNormal="100" workbookViewId="0">
      <pane xSplit="1212" activePane="topRight"/>
      <selection activeCell="A31" sqref="A31"/>
      <selection pane="topRight" activeCell="B37" sqref="B37:C37"/>
    </sheetView>
  </sheetViews>
  <sheetFormatPr defaultColWidth="9" defaultRowHeight="13.2"/>
  <cols>
    <col min="1" max="1" width="18.6640625" style="1" customWidth="1"/>
    <col min="2" max="3" width="18.6640625" style="13" customWidth="1"/>
    <col min="4" max="4" width="39.88671875" style="14" customWidth="1"/>
    <col min="5" max="36" width="18.6640625" style="1" customWidth="1"/>
    <col min="37" max="37" width="18.6640625" style="13" customWidth="1"/>
    <col min="38" max="38" width="18.6640625" style="1" customWidth="1"/>
    <col min="39" max="41" width="12.44140625" style="1" customWidth="1"/>
    <col min="42" max="200" width="8.88671875" style="1"/>
    <col min="201" max="201" width="11.5546875" style="1" customWidth="1"/>
    <col min="202" max="202" width="8.88671875" style="1"/>
    <col min="203" max="203" width="18.6640625" style="1" customWidth="1"/>
    <col min="204" max="212" width="3.6640625" style="1" customWidth="1"/>
    <col min="213" max="213" width="6" style="1" customWidth="1"/>
    <col min="214" max="221" width="3.6640625" style="1" customWidth="1"/>
    <col min="222" max="222" width="6.5546875" style="1" customWidth="1"/>
    <col min="223" max="230" width="3.6640625" style="1" customWidth="1"/>
    <col min="231" max="231" width="6" style="1" customWidth="1"/>
    <col min="232" max="237" width="3.6640625" style="1" customWidth="1"/>
    <col min="238" max="238" width="4" style="1" customWidth="1"/>
    <col min="239" max="239" width="3.6640625" style="1" customWidth="1"/>
    <col min="240" max="240" width="6" style="1" customWidth="1"/>
    <col min="241" max="241" width="0.33203125" style="1" customWidth="1"/>
    <col min="242" max="248" width="3.6640625" style="1" customWidth="1"/>
    <col min="249" max="249" width="6.109375" style="1" customWidth="1"/>
    <col min="250" max="257" width="3.6640625" style="1" customWidth="1"/>
    <col min="258" max="258" width="6.33203125" style="1" customWidth="1"/>
    <col min="259" max="266" width="3.6640625" style="1" customWidth="1"/>
    <col min="267" max="267" width="5.6640625" style="1" customWidth="1"/>
    <col min="268" max="275" width="3.6640625" style="1" customWidth="1"/>
    <col min="276" max="276" width="6.33203125" style="1" customWidth="1"/>
    <col min="277" max="284" width="3.6640625" style="1" customWidth="1"/>
    <col min="285" max="285" width="4" style="1" customWidth="1"/>
    <col min="286" max="286" width="5.88671875" style="1" customWidth="1"/>
    <col min="287" max="287" width="4.5546875" style="1" customWidth="1"/>
    <col min="288" max="289" width="4.44140625" style="1" customWidth="1"/>
    <col min="290" max="290" width="6.109375" style="1" customWidth="1"/>
    <col min="291" max="291" width="7" style="1" customWidth="1"/>
    <col min="292" max="294" width="3.6640625" style="1" customWidth="1"/>
    <col min="295" max="456" width="8.88671875" style="1"/>
    <col min="457" max="457" width="11.5546875" style="1" customWidth="1"/>
    <col min="458" max="458" width="8.88671875" style="1"/>
    <col min="459" max="459" width="18.6640625" style="1" customWidth="1"/>
    <col min="460" max="468" width="3.6640625" style="1" customWidth="1"/>
    <col min="469" max="469" width="6" style="1" customWidth="1"/>
    <col min="470" max="477" width="3.6640625" style="1" customWidth="1"/>
    <col min="478" max="478" width="6.5546875" style="1" customWidth="1"/>
    <col min="479" max="486" width="3.6640625" style="1" customWidth="1"/>
    <col min="487" max="487" width="6" style="1" customWidth="1"/>
    <col min="488" max="493" width="3.6640625" style="1" customWidth="1"/>
    <col min="494" max="494" width="4" style="1" customWidth="1"/>
    <col min="495" max="495" width="3.6640625" style="1" customWidth="1"/>
    <col min="496" max="496" width="6" style="1" customWidth="1"/>
    <col min="497" max="497" width="0.33203125" style="1" customWidth="1"/>
    <col min="498" max="504" width="3.6640625" style="1" customWidth="1"/>
    <col min="505" max="505" width="6.109375" style="1" customWidth="1"/>
    <col min="506" max="513" width="3.6640625" style="1" customWidth="1"/>
    <col min="514" max="514" width="6.33203125" style="1" customWidth="1"/>
    <col min="515" max="522" width="3.6640625" style="1" customWidth="1"/>
    <col min="523" max="523" width="5.6640625" style="1" customWidth="1"/>
    <col min="524" max="531" width="3.6640625" style="1" customWidth="1"/>
    <col min="532" max="532" width="6.33203125" style="1" customWidth="1"/>
    <col min="533" max="540" width="3.6640625" style="1" customWidth="1"/>
    <col min="541" max="541" width="4" style="1" customWidth="1"/>
    <col min="542" max="542" width="5.88671875" style="1" customWidth="1"/>
    <col min="543" max="543" width="4.5546875" style="1" customWidth="1"/>
    <col min="544" max="545" width="4.44140625" style="1" customWidth="1"/>
    <col min="546" max="546" width="6.109375" style="1" customWidth="1"/>
    <col min="547" max="547" width="7" style="1" customWidth="1"/>
    <col min="548" max="550" width="3.6640625" style="1" customWidth="1"/>
    <col min="551" max="712" width="8.88671875" style="1"/>
    <col min="713" max="713" width="11.5546875" style="1" customWidth="1"/>
    <col min="714" max="714" width="8.88671875" style="1"/>
    <col min="715" max="715" width="18.6640625" style="1" customWidth="1"/>
    <col min="716" max="724" width="3.6640625" style="1" customWidth="1"/>
    <col min="725" max="725" width="6" style="1" customWidth="1"/>
    <col min="726" max="733" width="3.6640625" style="1" customWidth="1"/>
    <col min="734" max="734" width="6.5546875" style="1" customWidth="1"/>
    <col min="735" max="742" width="3.6640625" style="1" customWidth="1"/>
    <col min="743" max="743" width="6" style="1" customWidth="1"/>
    <col min="744" max="749" width="3.6640625" style="1" customWidth="1"/>
    <col min="750" max="750" width="4" style="1" customWidth="1"/>
    <col min="751" max="751" width="3.6640625" style="1" customWidth="1"/>
    <col min="752" max="752" width="6" style="1" customWidth="1"/>
    <col min="753" max="753" width="0.33203125" style="1" customWidth="1"/>
    <col min="754" max="760" width="3.6640625" style="1" customWidth="1"/>
    <col min="761" max="761" width="6.109375" style="1" customWidth="1"/>
    <col min="762" max="769" width="3.6640625" style="1" customWidth="1"/>
    <col min="770" max="770" width="6.33203125" style="1" customWidth="1"/>
    <col min="771" max="778" width="3.6640625" style="1" customWidth="1"/>
    <col min="779" max="779" width="5.6640625" style="1" customWidth="1"/>
    <col min="780" max="787" width="3.6640625" style="1" customWidth="1"/>
    <col min="788" max="788" width="6.33203125" style="1" customWidth="1"/>
    <col min="789" max="796" width="3.6640625" style="1" customWidth="1"/>
    <col min="797" max="797" width="4" style="1" customWidth="1"/>
    <col min="798" max="798" width="5.88671875" style="1" customWidth="1"/>
    <col min="799" max="799" width="4.5546875" style="1" customWidth="1"/>
    <col min="800" max="801" width="4.44140625" style="1" customWidth="1"/>
    <col min="802" max="802" width="6.109375" style="1" customWidth="1"/>
    <col min="803" max="803" width="7" style="1" customWidth="1"/>
    <col min="804" max="806" width="3.6640625" style="1" customWidth="1"/>
    <col min="807" max="968" width="8.88671875" style="1"/>
    <col min="969" max="969" width="11.5546875" style="1" customWidth="1"/>
    <col min="970" max="970" width="8.88671875" style="1"/>
    <col min="971" max="971" width="18.6640625" style="1" customWidth="1"/>
    <col min="972" max="980" width="3.6640625" style="1" customWidth="1"/>
    <col min="981" max="981" width="6" style="1" customWidth="1"/>
    <col min="982" max="989" width="3.6640625" style="1" customWidth="1"/>
    <col min="990" max="990" width="6.5546875" style="1" customWidth="1"/>
    <col min="991" max="998" width="3.6640625" style="1" customWidth="1"/>
    <col min="999" max="999" width="6" style="1" customWidth="1"/>
    <col min="1000" max="1005" width="3.6640625" style="1" customWidth="1"/>
    <col min="1006" max="1006" width="4" style="1" customWidth="1"/>
    <col min="1007" max="1007" width="3.6640625" style="1" customWidth="1"/>
    <col min="1008" max="1008" width="6" style="1" customWidth="1"/>
    <col min="1009" max="1009" width="0.33203125" style="1" customWidth="1"/>
    <col min="1010" max="1016" width="3.6640625" style="1" customWidth="1"/>
    <col min="1017" max="1017" width="6.109375" style="1" customWidth="1"/>
    <col min="1018" max="1025" width="3.6640625" style="1" customWidth="1"/>
    <col min="1026" max="1026" width="6.33203125" style="1" customWidth="1"/>
    <col min="1027" max="1034" width="3.6640625" style="1" customWidth="1"/>
    <col min="1035" max="1035" width="5.6640625" style="1" customWidth="1"/>
    <col min="1036" max="1043" width="3.6640625" style="1" customWidth="1"/>
    <col min="1044" max="1044" width="6.33203125" style="1" customWidth="1"/>
    <col min="1045" max="1052" width="3.6640625" style="1" customWidth="1"/>
    <col min="1053" max="1053" width="4" style="1" customWidth="1"/>
    <col min="1054" max="1054" width="5.88671875" style="1" customWidth="1"/>
    <col min="1055" max="1055" width="4.5546875" style="1" customWidth="1"/>
    <col min="1056" max="1057" width="4.44140625" style="1" customWidth="1"/>
    <col min="1058" max="1058" width="6.109375" style="1" customWidth="1"/>
    <col min="1059" max="1059" width="7" style="1" customWidth="1"/>
    <col min="1060" max="1062" width="3.6640625" style="1" customWidth="1"/>
    <col min="1063" max="1224" width="8.88671875" style="1"/>
    <col min="1225" max="1225" width="11.5546875" style="1" customWidth="1"/>
    <col min="1226" max="1226" width="8.88671875" style="1"/>
    <col min="1227" max="1227" width="18.6640625" style="1" customWidth="1"/>
    <col min="1228" max="1236" width="3.6640625" style="1" customWidth="1"/>
    <col min="1237" max="1237" width="6" style="1" customWidth="1"/>
    <col min="1238" max="1245" width="3.6640625" style="1" customWidth="1"/>
    <col min="1246" max="1246" width="6.5546875" style="1" customWidth="1"/>
    <col min="1247" max="1254" width="3.6640625" style="1" customWidth="1"/>
    <col min="1255" max="1255" width="6" style="1" customWidth="1"/>
    <col min="1256" max="1261" width="3.6640625" style="1" customWidth="1"/>
    <col min="1262" max="1262" width="4" style="1" customWidth="1"/>
    <col min="1263" max="1263" width="3.6640625" style="1" customWidth="1"/>
    <col min="1264" max="1264" width="6" style="1" customWidth="1"/>
    <col min="1265" max="1265" width="0.33203125" style="1" customWidth="1"/>
    <col min="1266" max="1272" width="3.6640625" style="1" customWidth="1"/>
    <col min="1273" max="1273" width="6.109375" style="1" customWidth="1"/>
    <col min="1274" max="1281" width="3.6640625" style="1" customWidth="1"/>
    <col min="1282" max="1282" width="6.33203125" style="1" customWidth="1"/>
    <col min="1283" max="1290" width="3.6640625" style="1" customWidth="1"/>
    <col min="1291" max="1291" width="5.6640625" style="1" customWidth="1"/>
    <col min="1292" max="1299" width="3.6640625" style="1" customWidth="1"/>
    <col min="1300" max="1300" width="6.33203125" style="1" customWidth="1"/>
    <col min="1301" max="1308" width="3.6640625" style="1" customWidth="1"/>
    <col min="1309" max="1309" width="4" style="1" customWidth="1"/>
    <col min="1310" max="1310" width="5.88671875" style="1" customWidth="1"/>
    <col min="1311" max="1311" width="4.5546875" style="1" customWidth="1"/>
    <col min="1312" max="1313" width="4.44140625" style="1" customWidth="1"/>
    <col min="1314" max="1314" width="6.109375" style="1" customWidth="1"/>
    <col min="1315" max="1315" width="7" style="1" customWidth="1"/>
    <col min="1316" max="1318" width="3.6640625" style="1" customWidth="1"/>
    <col min="1319" max="1480" width="8.88671875" style="1"/>
    <col min="1481" max="1481" width="11.5546875" style="1" customWidth="1"/>
    <col min="1482" max="1482" width="8.88671875" style="1"/>
    <col min="1483" max="1483" width="18.6640625" style="1" customWidth="1"/>
    <col min="1484" max="1492" width="3.6640625" style="1" customWidth="1"/>
    <col min="1493" max="1493" width="6" style="1" customWidth="1"/>
    <col min="1494" max="1501" width="3.6640625" style="1" customWidth="1"/>
    <col min="1502" max="1502" width="6.5546875" style="1" customWidth="1"/>
    <col min="1503" max="1510" width="3.6640625" style="1" customWidth="1"/>
    <col min="1511" max="1511" width="6" style="1" customWidth="1"/>
    <col min="1512" max="1517" width="3.6640625" style="1" customWidth="1"/>
    <col min="1518" max="1518" width="4" style="1" customWidth="1"/>
    <col min="1519" max="1519" width="3.6640625" style="1" customWidth="1"/>
    <col min="1520" max="1520" width="6" style="1" customWidth="1"/>
    <col min="1521" max="1521" width="0.33203125" style="1" customWidth="1"/>
    <col min="1522" max="1528" width="3.6640625" style="1" customWidth="1"/>
    <col min="1529" max="1529" width="6.109375" style="1" customWidth="1"/>
    <col min="1530" max="1537" width="3.6640625" style="1" customWidth="1"/>
    <col min="1538" max="1538" width="6.33203125" style="1" customWidth="1"/>
    <col min="1539" max="1546" width="3.6640625" style="1" customWidth="1"/>
    <col min="1547" max="1547" width="5.6640625" style="1" customWidth="1"/>
    <col min="1548" max="1555" width="3.6640625" style="1" customWidth="1"/>
    <col min="1556" max="1556" width="6.33203125" style="1" customWidth="1"/>
    <col min="1557" max="1564" width="3.6640625" style="1" customWidth="1"/>
    <col min="1565" max="1565" width="4" style="1" customWidth="1"/>
    <col min="1566" max="1566" width="5.88671875" style="1" customWidth="1"/>
    <col min="1567" max="1567" width="4.5546875" style="1" customWidth="1"/>
    <col min="1568" max="1569" width="4.44140625" style="1" customWidth="1"/>
    <col min="1570" max="1570" width="6.109375" style="1" customWidth="1"/>
    <col min="1571" max="1571" width="7" style="1" customWidth="1"/>
    <col min="1572" max="1574" width="3.6640625" style="1" customWidth="1"/>
    <col min="1575" max="1736" width="8.88671875" style="1"/>
    <col min="1737" max="1737" width="11.5546875" style="1" customWidth="1"/>
    <col min="1738" max="1738" width="8.88671875" style="1"/>
    <col min="1739" max="1739" width="18.6640625" style="1" customWidth="1"/>
    <col min="1740" max="1748" width="3.6640625" style="1" customWidth="1"/>
    <col min="1749" max="1749" width="6" style="1" customWidth="1"/>
    <col min="1750" max="1757" width="3.6640625" style="1" customWidth="1"/>
    <col min="1758" max="1758" width="6.5546875" style="1" customWidth="1"/>
    <col min="1759" max="1766" width="3.6640625" style="1" customWidth="1"/>
    <col min="1767" max="1767" width="6" style="1" customWidth="1"/>
    <col min="1768" max="1773" width="3.6640625" style="1" customWidth="1"/>
    <col min="1774" max="1774" width="4" style="1" customWidth="1"/>
    <col min="1775" max="1775" width="3.6640625" style="1" customWidth="1"/>
    <col min="1776" max="1776" width="6" style="1" customWidth="1"/>
    <col min="1777" max="1777" width="0.33203125" style="1" customWidth="1"/>
    <col min="1778" max="1784" width="3.6640625" style="1" customWidth="1"/>
    <col min="1785" max="1785" width="6.109375" style="1" customWidth="1"/>
    <col min="1786" max="1793" width="3.6640625" style="1" customWidth="1"/>
    <col min="1794" max="1794" width="6.33203125" style="1" customWidth="1"/>
    <col min="1795" max="1802" width="3.6640625" style="1" customWidth="1"/>
    <col min="1803" max="1803" width="5.6640625" style="1" customWidth="1"/>
    <col min="1804" max="1811" width="3.6640625" style="1" customWidth="1"/>
    <col min="1812" max="1812" width="6.33203125" style="1" customWidth="1"/>
    <col min="1813" max="1820" width="3.6640625" style="1" customWidth="1"/>
    <col min="1821" max="1821" width="4" style="1" customWidth="1"/>
    <col min="1822" max="1822" width="5.88671875" style="1" customWidth="1"/>
    <col min="1823" max="1823" width="4.5546875" style="1" customWidth="1"/>
    <col min="1824" max="1825" width="4.44140625" style="1" customWidth="1"/>
    <col min="1826" max="1826" width="6.109375" style="1" customWidth="1"/>
    <col min="1827" max="1827" width="7" style="1" customWidth="1"/>
    <col min="1828" max="1830" width="3.6640625" style="1" customWidth="1"/>
    <col min="1831" max="1992" width="8.88671875" style="1"/>
    <col min="1993" max="1993" width="11.5546875" style="1" customWidth="1"/>
    <col min="1994" max="1994" width="8.88671875" style="1"/>
    <col min="1995" max="1995" width="18.6640625" style="1" customWidth="1"/>
    <col min="1996" max="2004" width="3.6640625" style="1" customWidth="1"/>
    <col min="2005" max="2005" width="6" style="1" customWidth="1"/>
    <col min="2006" max="2013" width="3.6640625" style="1" customWidth="1"/>
    <col min="2014" max="2014" width="6.5546875" style="1" customWidth="1"/>
    <col min="2015" max="2022" width="3.6640625" style="1" customWidth="1"/>
    <col min="2023" max="2023" width="6" style="1" customWidth="1"/>
    <col min="2024" max="2029" width="3.6640625" style="1" customWidth="1"/>
    <col min="2030" max="2030" width="4" style="1" customWidth="1"/>
    <col min="2031" max="2031" width="3.6640625" style="1" customWidth="1"/>
    <col min="2032" max="2032" width="6" style="1" customWidth="1"/>
    <col min="2033" max="2033" width="0.33203125" style="1" customWidth="1"/>
    <col min="2034" max="2040" width="3.6640625" style="1" customWidth="1"/>
    <col min="2041" max="2041" width="6.109375" style="1" customWidth="1"/>
    <col min="2042" max="2049" width="3.6640625" style="1" customWidth="1"/>
    <col min="2050" max="2050" width="6.33203125" style="1" customWidth="1"/>
    <col min="2051" max="2058" width="3.6640625" style="1" customWidth="1"/>
    <col min="2059" max="2059" width="5.6640625" style="1" customWidth="1"/>
    <col min="2060" max="2067" width="3.6640625" style="1" customWidth="1"/>
    <col min="2068" max="2068" width="6.33203125" style="1" customWidth="1"/>
    <col min="2069" max="2076" width="3.6640625" style="1" customWidth="1"/>
    <col min="2077" max="2077" width="4" style="1" customWidth="1"/>
    <col min="2078" max="2078" width="5.88671875" style="1" customWidth="1"/>
    <col min="2079" max="2079" width="4.5546875" style="1" customWidth="1"/>
    <col min="2080" max="2081" width="4.44140625" style="1" customWidth="1"/>
    <col min="2082" max="2082" width="6.109375" style="1" customWidth="1"/>
    <col min="2083" max="2083" width="7" style="1" customWidth="1"/>
    <col min="2084" max="2086" width="3.6640625" style="1" customWidth="1"/>
    <col min="2087" max="2248" width="8.88671875" style="1"/>
    <col min="2249" max="2249" width="11.5546875" style="1" customWidth="1"/>
    <col min="2250" max="2250" width="8.88671875" style="1"/>
    <col min="2251" max="2251" width="18.6640625" style="1" customWidth="1"/>
    <col min="2252" max="2260" width="3.6640625" style="1" customWidth="1"/>
    <col min="2261" max="2261" width="6" style="1" customWidth="1"/>
    <col min="2262" max="2269" width="3.6640625" style="1" customWidth="1"/>
    <col min="2270" max="2270" width="6.5546875" style="1" customWidth="1"/>
    <col min="2271" max="2278" width="3.6640625" style="1" customWidth="1"/>
    <col min="2279" max="2279" width="6" style="1" customWidth="1"/>
    <col min="2280" max="2285" width="3.6640625" style="1" customWidth="1"/>
    <col min="2286" max="2286" width="4" style="1" customWidth="1"/>
    <col min="2287" max="2287" width="3.6640625" style="1" customWidth="1"/>
    <col min="2288" max="2288" width="6" style="1" customWidth="1"/>
    <col min="2289" max="2289" width="0.33203125" style="1" customWidth="1"/>
    <col min="2290" max="2296" width="3.6640625" style="1" customWidth="1"/>
    <col min="2297" max="2297" width="6.109375" style="1" customWidth="1"/>
    <col min="2298" max="2305" width="3.6640625" style="1" customWidth="1"/>
    <col min="2306" max="2306" width="6.33203125" style="1" customWidth="1"/>
    <col min="2307" max="2314" width="3.6640625" style="1" customWidth="1"/>
    <col min="2315" max="2315" width="5.6640625" style="1" customWidth="1"/>
    <col min="2316" max="2323" width="3.6640625" style="1" customWidth="1"/>
    <col min="2324" max="2324" width="6.33203125" style="1" customWidth="1"/>
    <col min="2325" max="2332" width="3.6640625" style="1" customWidth="1"/>
    <col min="2333" max="2333" width="4" style="1" customWidth="1"/>
    <col min="2334" max="2334" width="5.88671875" style="1" customWidth="1"/>
    <col min="2335" max="2335" width="4.5546875" style="1" customWidth="1"/>
    <col min="2336" max="2337" width="4.44140625" style="1" customWidth="1"/>
    <col min="2338" max="2338" width="6.109375" style="1" customWidth="1"/>
    <col min="2339" max="2339" width="7" style="1" customWidth="1"/>
    <col min="2340" max="2342" width="3.6640625" style="1" customWidth="1"/>
    <col min="2343" max="2504" width="8.88671875" style="1"/>
    <col min="2505" max="2505" width="11.5546875" style="1" customWidth="1"/>
    <col min="2506" max="2506" width="8.88671875" style="1"/>
    <col min="2507" max="2507" width="18.6640625" style="1" customWidth="1"/>
    <col min="2508" max="2516" width="3.6640625" style="1" customWidth="1"/>
    <col min="2517" max="2517" width="6" style="1" customWidth="1"/>
    <col min="2518" max="2525" width="3.6640625" style="1" customWidth="1"/>
    <col min="2526" max="2526" width="6.5546875" style="1" customWidth="1"/>
    <col min="2527" max="2534" width="3.6640625" style="1" customWidth="1"/>
    <col min="2535" max="2535" width="6" style="1" customWidth="1"/>
    <col min="2536" max="2541" width="3.6640625" style="1" customWidth="1"/>
    <col min="2542" max="2542" width="4" style="1" customWidth="1"/>
    <col min="2543" max="2543" width="3.6640625" style="1" customWidth="1"/>
    <col min="2544" max="2544" width="6" style="1" customWidth="1"/>
    <col min="2545" max="2545" width="0.33203125" style="1" customWidth="1"/>
    <col min="2546" max="2552" width="3.6640625" style="1" customWidth="1"/>
    <col min="2553" max="2553" width="6.109375" style="1" customWidth="1"/>
    <col min="2554" max="2561" width="3.6640625" style="1" customWidth="1"/>
    <col min="2562" max="2562" width="6.33203125" style="1" customWidth="1"/>
    <col min="2563" max="2570" width="3.6640625" style="1" customWidth="1"/>
    <col min="2571" max="2571" width="5.6640625" style="1" customWidth="1"/>
    <col min="2572" max="2579" width="3.6640625" style="1" customWidth="1"/>
    <col min="2580" max="2580" width="6.33203125" style="1" customWidth="1"/>
    <col min="2581" max="2588" width="3.6640625" style="1" customWidth="1"/>
    <col min="2589" max="2589" width="4" style="1" customWidth="1"/>
    <col min="2590" max="2590" width="5.88671875" style="1" customWidth="1"/>
    <col min="2591" max="2591" width="4.5546875" style="1" customWidth="1"/>
    <col min="2592" max="2593" width="4.44140625" style="1" customWidth="1"/>
    <col min="2594" max="2594" width="6.109375" style="1" customWidth="1"/>
    <col min="2595" max="2595" width="7" style="1" customWidth="1"/>
    <col min="2596" max="2598" width="3.6640625" style="1" customWidth="1"/>
    <col min="2599" max="2760" width="8.88671875" style="1"/>
    <col min="2761" max="2761" width="11.5546875" style="1" customWidth="1"/>
    <col min="2762" max="2762" width="8.88671875" style="1"/>
    <col min="2763" max="2763" width="18.6640625" style="1" customWidth="1"/>
    <col min="2764" max="2772" width="3.6640625" style="1" customWidth="1"/>
    <col min="2773" max="2773" width="6" style="1" customWidth="1"/>
    <col min="2774" max="2781" width="3.6640625" style="1" customWidth="1"/>
    <col min="2782" max="2782" width="6.5546875" style="1" customWidth="1"/>
    <col min="2783" max="2790" width="3.6640625" style="1" customWidth="1"/>
    <col min="2791" max="2791" width="6" style="1" customWidth="1"/>
    <col min="2792" max="2797" width="3.6640625" style="1" customWidth="1"/>
    <col min="2798" max="2798" width="4" style="1" customWidth="1"/>
    <col min="2799" max="2799" width="3.6640625" style="1" customWidth="1"/>
    <col min="2800" max="2800" width="6" style="1" customWidth="1"/>
    <col min="2801" max="2801" width="0.33203125" style="1" customWidth="1"/>
    <col min="2802" max="2808" width="3.6640625" style="1" customWidth="1"/>
    <col min="2809" max="2809" width="6.109375" style="1" customWidth="1"/>
    <col min="2810" max="2817" width="3.6640625" style="1" customWidth="1"/>
    <col min="2818" max="2818" width="6.33203125" style="1" customWidth="1"/>
    <col min="2819" max="2826" width="3.6640625" style="1" customWidth="1"/>
    <col min="2827" max="2827" width="5.6640625" style="1" customWidth="1"/>
    <col min="2828" max="2835" width="3.6640625" style="1" customWidth="1"/>
    <col min="2836" max="2836" width="6.33203125" style="1" customWidth="1"/>
    <col min="2837" max="2844" width="3.6640625" style="1" customWidth="1"/>
    <col min="2845" max="2845" width="4" style="1" customWidth="1"/>
    <col min="2846" max="2846" width="5.88671875" style="1" customWidth="1"/>
    <col min="2847" max="2847" width="4.5546875" style="1" customWidth="1"/>
    <col min="2848" max="2849" width="4.44140625" style="1" customWidth="1"/>
    <col min="2850" max="2850" width="6.109375" style="1" customWidth="1"/>
    <col min="2851" max="2851" width="7" style="1" customWidth="1"/>
    <col min="2852" max="2854" width="3.6640625" style="1" customWidth="1"/>
    <col min="2855" max="3016" width="8.88671875" style="1"/>
    <col min="3017" max="3017" width="11.5546875" style="1" customWidth="1"/>
    <col min="3018" max="3018" width="8.88671875" style="1"/>
    <col min="3019" max="3019" width="18.6640625" style="1" customWidth="1"/>
    <col min="3020" max="3028" width="3.6640625" style="1" customWidth="1"/>
    <col min="3029" max="3029" width="6" style="1" customWidth="1"/>
    <col min="3030" max="3037" width="3.6640625" style="1" customWidth="1"/>
    <col min="3038" max="3038" width="6.5546875" style="1" customWidth="1"/>
    <col min="3039" max="3046" width="3.6640625" style="1" customWidth="1"/>
    <col min="3047" max="3047" width="6" style="1" customWidth="1"/>
    <col min="3048" max="3053" width="3.6640625" style="1" customWidth="1"/>
    <col min="3054" max="3054" width="4" style="1" customWidth="1"/>
    <col min="3055" max="3055" width="3.6640625" style="1" customWidth="1"/>
    <col min="3056" max="3056" width="6" style="1" customWidth="1"/>
    <col min="3057" max="3057" width="0.33203125" style="1" customWidth="1"/>
    <col min="3058" max="3064" width="3.6640625" style="1" customWidth="1"/>
    <col min="3065" max="3065" width="6.109375" style="1" customWidth="1"/>
    <col min="3066" max="3073" width="3.6640625" style="1" customWidth="1"/>
    <col min="3074" max="3074" width="6.33203125" style="1" customWidth="1"/>
    <col min="3075" max="3082" width="3.6640625" style="1" customWidth="1"/>
    <col min="3083" max="3083" width="5.6640625" style="1" customWidth="1"/>
    <col min="3084" max="3091" width="3.6640625" style="1" customWidth="1"/>
    <col min="3092" max="3092" width="6.33203125" style="1" customWidth="1"/>
    <col min="3093" max="3100" width="3.6640625" style="1" customWidth="1"/>
    <col min="3101" max="3101" width="4" style="1" customWidth="1"/>
    <col min="3102" max="3102" width="5.88671875" style="1" customWidth="1"/>
    <col min="3103" max="3103" width="4.5546875" style="1" customWidth="1"/>
    <col min="3104" max="3105" width="4.44140625" style="1" customWidth="1"/>
    <col min="3106" max="3106" width="6.109375" style="1" customWidth="1"/>
    <col min="3107" max="3107" width="7" style="1" customWidth="1"/>
    <col min="3108" max="3110" width="3.6640625" style="1" customWidth="1"/>
    <col min="3111" max="3272" width="8.88671875" style="1"/>
    <col min="3273" max="3273" width="11.5546875" style="1" customWidth="1"/>
    <col min="3274" max="3274" width="8.88671875" style="1"/>
    <col min="3275" max="3275" width="18.6640625" style="1" customWidth="1"/>
    <col min="3276" max="3284" width="3.6640625" style="1" customWidth="1"/>
    <col min="3285" max="3285" width="6" style="1" customWidth="1"/>
    <col min="3286" max="3293" width="3.6640625" style="1" customWidth="1"/>
    <col min="3294" max="3294" width="6.5546875" style="1" customWidth="1"/>
    <col min="3295" max="3302" width="3.6640625" style="1" customWidth="1"/>
    <col min="3303" max="3303" width="6" style="1" customWidth="1"/>
    <col min="3304" max="3309" width="3.6640625" style="1" customWidth="1"/>
    <col min="3310" max="3310" width="4" style="1" customWidth="1"/>
    <col min="3311" max="3311" width="3.6640625" style="1" customWidth="1"/>
    <col min="3312" max="3312" width="6" style="1" customWidth="1"/>
    <col min="3313" max="3313" width="0.33203125" style="1" customWidth="1"/>
    <col min="3314" max="3320" width="3.6640625" style="1" customWidth="1"/>
    <col min="3321" max="3321" width="6.109375" style="1" customWidth="1"/>
    <col min="3322" max="3329" width="3.6640625" style="1" customWidth="1"/>
    <col min="3330" max="3330" width="6.33203125" style="1" customWidth="1"/>
    <col min="3331" max="3338" width="3.6640625" style="1" customWidth="1"/>
    <col min="3339" max="3339" width="5.6640625" style="1" customWidth="1"/>
    <col min="3340" max="3347" width="3.6640625" style="1" customWidth="1"/>
    <col min="3348" max="3348" width="6.33203125" style="1" customWidth="1"/>
    <col min="3349" max="3356" width="3.6640625" style="1" customWidth="1"/>
    <col min="3357" max="3357" width="4" style="1" customWidth="1"/>
    <col min="3358" max="3358" width="5.88671875" style="1" customWidth="1"/>
    <col min="3359" max="3359" width="4.5546875" style="1" customWidth="1"/>
    <col min="3360" max="3361" width="4.44140625" style="1" customWidth="1"/>
    <col min="3362" max="3362" width="6.109375" style="1" customWidth="1"/>
    <col min="3363" max="3363" width="7" style="1" customWidth="1"/>
    <col min="3364" max="3366" width="3.6640625" style="1" customWidth="1"/>
    <col min="3367" max="3528" width="8.88671875" style="1"/>
    <col min="3529" max="3529" width="11.5546875" style="1" customWidth="1"/>
    <col min="3530" max="3530" width="8.88671875" style="1"/>
    <col min="3531" max="3531" width="18.6640625" style="1" customWidth="1"/>
    <col min="3532" max="3540" width="3.6640625" style="1" customWidth="1"/>
    <col min="3541" max="3541" width="6" style="1" customWidth="1"/>
    <col min="3542" max="3549" width="3.6640625" style="1" customWidth="1"/>
    <col min="3550" max="3550" width="6.5546875" style="1" customWidth="1"/>
    <col min="3551" max="3558" width="3.6640625" style="1" customWidth="1"/>
    <col min="3559" max="3559" width="6" style="1" customWidth="1"/>
    <col min="3560" max="3565" width="3.6640625" style="1" customWidth="1"/>
    <col min="3566" max="3566" width="4" style="1" customWidth="1"/>
    <col min="3567" max="3567" width="3.6640625" style="1" customWidth="1"/>
    <col min="3568" max="3568" width="6" style="1" customWidth="1"/>
    <col min="3569" max="3569" width="0.33203125" style="1" customWidth="1"/>
    <col min="3570" max="3576" width="3.6640625" style="1" customWidth="1"/>
    <col min="3577" max="3577" width="6.109375" style="1" customWidth="1"/>
    <col min="3578" max="3585" width="3.6640625" style="1" customWidth="1"/>
    <col min="3586" max="3586" width="6.33203125" style="1" customWidth="1"/>
    <col min="3587" max="3594" width="3.6640625" style="1" customWidth="1"/>
    <col min="3595" max="3595" width="5.6640625" style="1" customWidth="1"/>
    <col min="3596" max="3603" width="3.6640625" style="1" customWidth="1"/>
    <col min="3604" max="3604" width="6.33203125" style="1" customWidth="1"/>
    <col min="3605" max="3612" width="3.6640625" style="1" customWidth="1"/>
    <col min="3613" max="3613" width="4" style="1" customWidth="1"/>
    <col min="3614" max="3614" width="5.88671875" style="1" customWidth="1"/>
    <col min="3615" max="3615" width="4.5546875" style="1" customWidth="1"/>
    <col min="3616" max="3617" width="4.44140625" style="1" customWidth="1"/>
    <col min="3618" max="3618" width="6.109375" style="1" customWidth="1"/>
    <col min="3619" max="3619" width="7" style="1" customWidth="1"/>
    <col min="3620" max="3622" width="3.6640625" style="1" customWidth="1"/>
    <col min="3623" max="3784" width="8.88671875" style="1"/>
    <col min="3785" max="3785" width="11.5546875" style="1" customWidth="1"/>
    <col min="3786" max="3786" width="8.88671875" style="1"/>
    <col min="3787" max="3787" width="18.6640625" style="1" customWidth="1"/>
    <col min="3788" max="3796" width="3.6640625" style="1" customWidth="1"/>
    <col min="3797" max="3797" width="6" style="1" customWidth="1"/>
    <col min="3798" max="3805" width="3.6640625" style="1" customWidth="1"/>
    <col min="3806" max="3806" width="6.5546875" style="1" customWidth="1"/>
    <col min="3807" max="3814" width="3.6640625" style="1" customWidth="1"/>
    <col min="3815" max="3815" width="6" style="1" customWidth="1"/>
    <col min="3816" max="3821" width="3.6640625" style="1" customWidth="1"/>
    <col min="3822" max="3822" width="4" style="1" customWidth="1"/>
    <col min="3823" max="3823" width="3.6640625" style="1" customWidth="1"/>
    <col min="3824" max="3824" width="6" style="1" customWidth="1"/>
    <col min="3825" max="3825" width="0.33203125" style="1" customWidth="1"/>
    <col min="3826" max="3832" width="3.6640625" style="1" customWidth="1"/>
    <col min="3833" max="3833" width="6.109375" style="1" customWidth="1"/>
    <col min="3834" max="3841" width="3.6640625" style="1" customWidth="1"/>
    <col min="3842" max="3842" width="6.33203125" style="1" customWidth="1"/>
    <col min="3843" max="3850" width="3.6640625" style="1" customWidth="1"/>
    <col min="3851" max="3851" width="5.6640625" style="1" customWidth="1"/>
    <col min="3852" max="3859" width="3.6640625" style="1" customWidth="1"/>
    <col min="3860" max="3860" width="6.33203125" style="1" customWidth="1"/>
    <col min="3861" max="3868" width="3.6640625" style="1" customWidth="1"/>
    <col min="3869" max="3869" width="4" style="1" customWidth="1"/>
    <col min="3870" max="3870" width="5.88671875" style="1" customWidth="1"/>
    <col min="3871" max="3871" width="4.5546875" style="1" customWidth="1"/>
    <col min="3872" max="3873" width="4.44140625" style="1" customWidth="1"/>
    <col min="3874" max="3874" width="6.109375" style="1" customWidth="1"/>
    <col min="3875" max="3875" width="7" style="1" customWidth="1"/>
    <col min="3876" max="3878" width="3.6640625" style="1" customWidth="1"/>
    <col min="3879" max="4040" width="8.88671875" style="1"/>
    <col min="4041" max="4041" width="11.5546875" style="1" customWidth="1"/>
    <col min="4042" max="4042" width="8.88671875" style="1"/>
    <col min="4043" max="4043" width="18.6640625" style="1" customWidth="1"/>
    <col min="4044" max="4052" width="3.6640625" style="1" customWidth="1"/>
    <col min="4053" max="4053" width="6" style="1" customWidth="1"/>
    <col min="4054" max="4061" width="3.6640625" style="1" customWidth="1"/>
    <col min="4062" max="4062" width="6.5546875" style="1" customWidth="1"/>
    <col min="4063" max="4070" width="3.6640625" style="1" customWidth="1"/>
    <col min="4071" max="4071" width="6" style="1" customWidth="1"/>
    <col min="4072" max="4077" width="3.6640625" style="1" customWidth="1"/>
    <col min="4078" max="4078" width="4" style="1" customWidth="1"/>
    <col min="4079" max="4079" width="3.6640625" style="1" customWidth="1"/>
    <col min="4080" max="4080" width="6" style="1" customWidth="1"/>
    <col min="4081" max="4081" width="0.33203125" style="1" customWidth="1"/>
    <col min="4082" max="4088" width="3.6640625" style="1" customWidth="1"/>
    <col min="4089" max="4089" width="6.109375" style="1" customWidth="1"/>
    <col min="4090" max="4097" width="3.6640625" style="1" customWidth="1"/>
    <col min="4098" max="4098" width="6.33203125" style="1" customWidth="1"/>
    <col min="4099" max="4106" width="3.6640625" style="1" customWidth="1"/>
    <col min="4107" max="4107" width="5.6640625" style="1" customWidth="1"/>
    <col min="4108" max="4115" width="3.6640625" style="1" customWidth="1"/>
    <col min="4116" max="4116" width="6.33203125" style="1" customWidth="1"/>
    <col min="4117" max="4124" width="3.6640625" style="1" customWidth="1"/>
    <col min="4125" max="4125" width="4" style="1" customWidth="1"/>
    <col min="4126" max="4126" width="5.88671875" style="1" customWidth="1"/>
    <col min="4127" max="4127" width="4.5546875" style="1" customWidth="1"/>
    <col min="4128" max="4129" width="4.44140625" style="1" customWidth="1"/>
    <col min="4130" max="4130" width="6.109375" style="1" customWidth="1"/>
    <col min="4131" max="4131" width="7" style="1" customWidth="1"/>
    <col min="4132" max="4134" width="3.6640625" style="1" customWidth="1"/>
    <col min="4135" max="4296" width="8.88671875" style="1"/>
    <col min="4297" max="4297" width="11.5546875" style="1" customWidth="1"/>
    <col min="4298" max="4298" width="8.88671875" style="1"/>
    <col min="4299" max="4299" width="18.6640625" style="1" customWidth="1"/>
    <col min="4300" max="4308" width="3.6640625" style="1" customWidth="1"/>
    <col min="4309" max="4309" width="6" style="1" customWidth="1"/>
    <col min="4310" max="4317" width="3.6640625" style="1" customWidth="1"/>
    <col min="4318" max="4318" width="6.5546875" style="1" customWidth="1"/>
    <col min="4319" max="4326" width="3.6640625" style="1" customWidth="1"/>
    <col min="4327" max="4327" width="6" style="1" customWidth="1"/>
    <col min="4328" max="4333" width="3.6640625" style="1" customWidth="1"/>
    <col min="4334" max="4334" width="4" style="1" customWidth="1"/>
    <col min="4335" max="4335" width="3.6640625" style="1" customWidth="1"/>
    <col min="4336" max="4336" width="6" style="1" customWidth="1"/>
    <col min="4337" max="4337" width="0.33203125" style="1" customWidth="1"/>
    <col min="4338" max="4344" width="3.6640625" style="1" customWidth="1"/>
    <col min="4345" max="4345" width="6.109375" style="1" customWidth="1"/>
    <col min="4346" max="4353" width="3.6640625" style="1" customWidth="1"/>
    <col min="4354" max="4354" width="6.33203125" style="1" customWidth="1"/>
    <col min="4355" max="4362" width="3.6640625" style="1" customWidth="1"/>
    <col min="4363" max="4363" width="5.6640625" style="1" customWidth="1"/>
    <col min="4364" max="4371" width="3.6640625" style="1" customWidth="1"/>
    <col min="4372" max="4372" width="6.33203125" style="1" customWidth="1"/>
    <col min="4373" max="4380" width="3.6640625" style="1" customWidth="1"/>
    <col min="4381" max="4381" width="4" style="1" customWidth="1"/>
    <col min="4382" max="4382" width="5.88671875" style="1" customWidth="1"/>
    <col min="4383" max="4383" width="4.5546875" style="1" customWidth="1"/>
    <col min="4384" max="4385" width="4.44140625" style="1" customWidth="1"/>
    <col min="4386" max="4386" width="6.109375" style="1" customWidth="1"/>
    <col min="4387" max="4387" width="7" style="1" customWidth="1"/>
    <col min="4388" max="4390" width="3.6640625" style="1" customWidth="1"/>
    <col min="4391" max="4552" width="8.88671875" style="1"/>
    <col min="4553" max="4553" width="11.5546875" style="1" customWidth="1"/>
    <col min="4554" max="4554" width="8.88671875" style="1"/>
    <col min="4555" max="4555" width="18.6640625" style="1" customWidth="1"/>
    <col min="4556" max="4564" width="3.6640625" style="1" customWidth="1"/>
    <col min="4565" max="4565" width="6" style="1" customWidth="1"/>
    <col min="4566" max="4573" width="3.6640625" style="1" customWidth="1"/>
    <col min="4574" max="4574" width="6.5546875" style="1" customWidth="1"/>
    <col min="4575" max="4582" width="3.6640625" style="1" customWidth="1"/>
    <col min="4583" max="4583" width="6" style="1" customWidth="1"/>
    <col min="4584" max="4589" width="3.6640625" style="1" customWidth="1"/>
    <col min="4590" max="4590" width="4" style="1" customWidth="1"/>
    <col min="4591" max="4591" width="3.6640625" style="1" customWidth="1"/>
    <col min="4592" max="4592" width="6" style="1" customWidth="1"/>
    <col min="4593" max="4593" width="0.33203125" style="1" customWidth="1"/>
    <col min="4594" max="4600" width="3.6640625" style="1" customWidth="1"/>
    <col min="4601" max="4601" width="6.109375" style="1" customWidth="1"/>
    <col min="4602" max="4609" width="3.6640625" style="1" customWidth="1"/>
    <col min="4610" max="4610" width="6.33203125" style="1" customWidth="1"/>
    <col min="4611" max="4618" width="3.6640625" style="1" customWidth="1"/>
    <col min="4619" max="4619" width="5.6640625" style="1" customWidth="1"/>
    <col min="4620" max="4627" width="3.6640625" style="1" customWidth="1"/>
    <col min="4628" max="4628" width="6.33203125" style="1" customWidth="1"/>
    <col min="4629" max="4636" width="3.6640625" style="1" customWidth="1"/>
    <col min="4637" max="4637" width="4" style="1" customWidth="1"/>
    <col min="4638" max="4638" width="5.88671875" style="1" customWidth="1"/>
    <col min="4639" max="4639" width="4.5546875" style="1" customWidth="1"/>
    <col min="4640" max="4641" width="4.44140625" style="1" customWidth="1"/>
    <col min="4642" max="4642" width="6.109375" style="1" customWidth="1"/>
    <col min="4643" max="4643" width="7" style="1" customWidth="1"/>
    <col min="4644" max="4646" width="3.6640625" style="1" customWidth="1"/>
    <col min="4647" max="4808" width="8.88671875" style="1"/>
    <col min="4809" max="4809" width="11.5546875" style="1" customWidth="1"/>
    <col min="4810" max="4810" width="8.88671875" style="1"/>
    <col min="4811" max="4811" width="18.6640625" style="1" customWidth="1"/>
    <col min="4812" max="4820" width="3.6640625" style="1" customWidth="1"/>
    <col min="4821" max="4821" width="6" style="1" customWidth="1"/>
    <col min="4822" max="4829" width="3.6640625" style="1" customWidth="1"/>
    <col min="4830" max="4830" width="6.5546875" style="1" customWidth="1"/>
    <col min="4831" max="4838" width="3.6640625" style="1" customWidth="1"/>
    <col min="4839" max="4839" width="6" style="1" customWidth="1"/>
    <col min="4840" max="4845" width="3.6640625" style="1" customWidth="1"/>
    <col min="4846" max="4846" width="4" style="1" customWidth="1"/>
    <col min="4847" max="4847" width="3.6640625" style="1" customWidth="1"/>
    <col min="4848" max="4848" width="6" style="1" customWidth="1"/>
    <col min="4849" max="4849" width="0.33203125" style="1" customWidth="1"/>
    <col min="4850" max="4856" width="3.6640625" style="1" customWidth="1"/>
    <col min="4857" max="4857" width="6.109375" style="1" customWidth="1"/>
    <col min="4858" max="4865" width="3.6640625" style="1" customWidth="1"/>
    <col min="4866" max="4866" width="6.33203125" style="1" customWidth="1"/>
    <col min="4867" max="4874" width="3.6640625" style="1" customWidth="1"/>
    <col min="4875" max="4875" width="5.6640625" style="1" customWidth="1"/>
    <col min="4876" max="4883" width="3.6640625" style="1" customWidth="1"/>
    <col min="4884" max="4884" width="6.33203125" style="1" customWidth="1"/>
    <col min="4885" max="4892" width="3.6640625" style="1" customWidth="1"/>
    <col min="4893" max="4893" width="4" style="1" customWidth="1"/>
    <col min="4894" max="4894" width="5.88671875" style="1" customWidth="1"/>
    <col min="4895" max="4895" width="4.5546875" style="1" customWidth="1"/>
    <col min="4896" max="4897" width="4.44140625" style="1" customWidth="1"/>
    <col min="4898" max="4898" width="6.109375" style="1" customWidth="1"/>
    <col min="4899" max="4899" width="7" style="1" customWidth="1"/>
    <col min="4900" max="4902" width="3.6640625" style="1" customWidth="1"/>
    <col min="4903" max="5064" width="8.88671875" style="1"/>
    <col min="5065" max="5065" width="11.5546875" style="1" customWidth="1"/>
    <col min="5066" max="5066" width="8.88671875" style="1"/>
    <col min="5067" max="5067" width="18.6640625" style="1" customWidth="1"/>
    <col min="5068" max="5076" width="3.6640625" style="1" customWidth="1"/>
    <col min="5077" max="5077" width="6" style="1" customWidth="1"/>
    <col min="5078" max="5085" width="3.6640625" style="1" customWidth="1"/>
    <col min="5086" max="5086" width="6.5546875" style="1" customWidth="1"/>
    <col min="5087" max="5094" width="3.6640625" style="1" customWidth="1"/>
    <col min="5095" max="5095" width="6" style="1" customWidth="1"/>
    <col min="5096" max="5101" width="3.6640625" style="1" customWidth="1"/>
    <col min="5102" max="5102" width="4" style="1" customWidth="1"/>
    <col min="5103" max="5103" width="3.6640625" style="1" customWidth="1"/>
    <col min="5104" max="5104" width="6" style="1" customWidth="1"/>
    <col min="5105" max="5105" width="0.33203125" style="1" customWidth="1"/>
    <col min="5106" max="5112" width="3.6640625" style="1" customWidth="1"/>
    <col min="5113" max="5113" width="6.109375" style="1" customWidth="1"/>
    <col min="5114" max="5121" width="3.6640625" style="1" customWidth="1"/>
    <col min="5122" max="5122" width="6.33203125" style="1" customWidth="1"/>
    <col min="5123" max="5130" width="3.6640625" style="1" customWidth="1"/>
    <col min="5131" max="5131" width="5.6640625" style="1" customWidth="1"/>
    <col min="5132" max="5139" width="3.6640625" style="1" customWidth="1"/>
    <col min="5140" max="5140" width="6.33203125" style="1" customWidth="1"/>
    <col min="5141" max="5148" width="3.6640625" style="1" customWidth="1"/>
    <col min="5149" max="5149" width="4" style="1" customWidth="1"/>
    <col min="5150" max="5150" width="5.88671875" style="1" customWidth="1"/>
    <col min="5151" max="5151" width="4.5546875" style="1" customWidth="1"/>
    <col min="5152" max="5153" width="4.44140625" style="1" customWidth="1"/>
    <col min="5154" max="5154" width="6.109375" style="1" customWidth="1"/>
    <col min="5155" max="5155" width="7" style="1" customWidth="1"/>
    <col min="5156" max="5158" width="3.6640625" style="1" customWidth="1"/>
    <col min="5159" max="5320" width="8.88671875" style="1"/>
    <col min="5321" max="5321" width="11.5546875" style="1" customWidth="1"/>
    <col min="5322" max="5322" width="8.88671875" style="1"/>
    <col min="5323" max="5323" width="18.6640625" style="1" customWidth="1"/>
    <col min="5324" max="5332" width="3.6640625" style="1" customWidth="1"/>
    <col min="5333" max="5333" width="6" style="1" customWidth="1"/>
    <col min="5334" max="5341" width="3.6640625" style="1" customWidth="1"/>
    <col min="5342" max="5342" width="6.5546875" style="1" customWidth="1"/>
    <col min="5343" max="5350" width="3.6640625" style="1" customWidth="1"/>
    <col min="5351" max="5351" width="6" style="1" customWidth="1"/>
    <col min="5352" max="5357" width="3.6640625" style="1" customWidth="1"/>
    <col min="5358" max="5358" width="4" style="1" customWidth="1"/>
    <col min="5359" max="5359" width="3.6640625" style="1" customWidth="1"/>
    <col min="5360" max="5360" width="6" style="1" customWidth="1"/>
    <col min="5361" max="5361" width="0.33203125" style="1" customWidth="1"/>
    <col min="5362" max="5368" width="3.6640625" style="1" customWidth="1"/>
    <col min="5369" max="5369" width="6.109375" style="1" customWidth="1"/>
    <col min="5370" max="5377" width="3.6640625" style="1" customWidth="1"/>
    <col min="5378" max="5378" width="6.33203125" style="1" customWidth="1"/>
    <col min="5379" max="5386" width="3.6640625" style="1" customWidth="1"/>
    <col min="5387" max="5387" width="5.6640625" style="1" customWidth="1"/>
    <col min="5388" max="5395" width="3.6640625" style="1" customWidth="1"/>
    <col min="5396" max="5396" width="6.33203125" style="1" customWidth="1"/>
    <col min="5397" max="5404" width="3.6640625" style="1" customWidth="1"/>
    <col min="5405" max="5405" width="4" style="1" customWidth="1"/>
    <col min="5406" max="5406" width="5.88671875" style="1" customWidth="1"/>
    <col min="5407" max="5407" width="4.5546875" style="1" customWidth="1"/>
    <col min="5408" max="5409" width="4.44140625" style="1" customWidth="1"/>
    <col min="5410" max="5410" width="6.109375" style="1" customWidth="1"/>
    <col min="5411" max="5411" width="7" style="1" customWidth="1"/>
    <col min="5412" max="5414" width="3.6640625" style="1" customWidth="1"/>
    <col min="5415" max="5576" width="8.88671875" style="1"/>
    <col min="5577" max="5577" width="11.5546875" style="1" customWidth="1"/>
    <col min="5578" max="5578" width="8.88671875" style="1"/>
    <col min="5579" max="5579" width="18.6640625" style="1" customWidth="1"/>
    <col min="5580" max="5588" width="3.6640625" style="1" customWidth="1"/>
    <col min="5589" max="5589" width="6" style="1" customWidth="1"/>
    <col min="5590" max="5597" width="3.6640625" style="1" customWidth="1"/>
    <col min="5598" max="5598" width="6.5546875" style="1" customWidth="1"/>
    <col min="5599" max="5606" width="3.6640625" style="1" customWidth="1"/>
    <col min="5607" max="5607" width="6" style="1" customWidth="1"/>
    <col min="5608" max="5613" width="3.6640625" style="1" customWidth="1"/>
    <col min="5614" max="5614" width="4" style="1" customWidth="1"/>
    <col min="5615" max="5615" width="3.6640625" style="1" customWidth="1"/>
    <col min="5616" max="5616" width="6" style="1" customWidth="1"/>
    <col min="5617" max="5617" width="0.33203125" style="1" customWidth="1"/>
    <col min="5618" max="5624" width="3.6640625" style="1" customWidth="1"/>
    <col min="5625" max="5625" width="6.109375" style="1" customWidth="1"/>
    <col min="5626" max="5633" width="3.6640625" style="1" customWidth="1"/>
    <col min="5634" max="5634" width="6.33203125" style="1" customWidth="1"/>
    <col min="5635" max="5642" width="3.6640625" style="1" customWidth="1"/>
    <col min="5643" max="5643" width="5.6640625" style="1" customWidth="1"/>
    <col min="5644" max="5651" width="3.6640625" style="1" customWidth="1"/>
    <col min="5652" max="5652" width="6.33203125" style="1" customWidth="1"/>
    <col min="5653" max="5660" width="3.6640625" style="1" customWidth="1"/>
    <col min="5661" max="5661" width="4" style="1" customWidth="1"/>
    <col min="5662" max="5662" width="5.88671875" style="1" customWidth="1"/>
    <col min="5663" max="5663" width="4.5546875" style="1" customWidth="1"/>
    <col min="5664" max="5665" width="4.44140625" style="1" customWidth="1"/>
    <col min="5666" max="5666" width="6.109375" style="1" customWidth="1"/>
    <col min="5667" max="5667" width="7" style="1" customWidth="1"/>
    <col min="5668" max="5670" width="3.6640625" style="1" customWidth="1"/>
    <col min="5671" max="5832" width="8.88671875" style="1"/>
    <col min="5833" max="5833" width="11.5546875" style="1" customWidth="1"/>
    <col min="5834" max="5834" width="8.88671875" style="1"/>
    <col min="5835" max="5835" width="18.6640625" style="1" customWidth="1"/>
    <col min="5836" max="5844" width="3.6640625" style="1" customWidth="1"/>
    <col min="5845" max="5845" width="6" style="1" customWidth="1"/>
    <col min="5846" max="5853" width="3.6640625" style="1" customWidth="1"/>
    <col min="5854" max="5854" width="6.5546875" style="1" customWidth="1"/>
    <col min="5855" max="5862" width="3.6640625" style="1" customWidth="1"/>
    <col min="5863" max="5863" width="6" style="1" customWidth="1"/>
    <col min="5864" max="5869" width="3.6640625" style="1" customWidth="1"/>
    <col min="5870" max="5870" width="4" style="1" customWidth="1"/>
    <col min="5871" max="5871" width="3.6640625" style="1" customWidth="1"/>
    <col min="5872" max="5872" width="6" style="1" customWidth="1"/>
    <col min="5873" max="5873" width="0.33203125" style="1" customWidth="1"/>
    <col min="5874" max="5880" width="3.6640625" style="1" customWidth="1"/>
    <col min="5881" max="5881" width="6.109375" style="1" customWidth="1"/>
    <col min="5882" max="5889" width="3.6640625" style="1" customWidth="1"/>
    <col min="5890" max="5890" width="6.33203125" style="1" customWidth="1"/>
    <col min="5891" max="5898" width="3.6640625" style="1" customWidth="1"/>
    <col min="5899" max="5899" width="5.6640625" style="1" customWidth="1"/>
    <col min="5900" max="5907" width="3.6640625" style="1" customWidth="1"/>
    <col min="5908" max="5908" width="6.33203125" style="1" customWidth="1"/>
    <col min="5909" max="5916" width="3.6640625" style="1" customWidth="1"/>
    <col min="5917" max="5917" width="4" style="1" customWidth="1"/>
    <col min="5918" max="5918" width="5.88671875" style="1" customWidth="1"/>
    <col min="5919" max="5919" width="4.5546875" style="1" customWidth="1"/>
    <col min="5920" max="5921" width="4.44140625" style="1" customWidth="1"/>
    <col min="5922" max="5922" width="6.109375" style="1" customWidth="1"/>
    <col min="5923" max="5923" width="7" style="1" customWidth="1"/>
    <col min="5924" max="5926" width="3.6640625" style="1" customWidth="1"/>
    <col min="5927" max="6088" width="8.88671875" style="1"/>
    <col min="6089" max="6089" width="11.5546875" style="1" customWidth="1"/>
    <col min="6090" max="6090" width="8.88671875" style="1"/>
    <col min="6091" max="6091" width="18.6640625" style="1" customWidth="1"/>
    <col min="6092" max="6100" width="3.6640625" style="1" customWidth="1"/>
    <col min="6101" max="6101" width="6" style="1" customWidth="1"/>
    <col min="6102" max="6109" width="3.6640625" style="1" customWidth="1"/>
    <col min="6110" max="6110" width="6.5546875" style="1" customWidth="1"/>
    <col min="6111" max="6118" width="3.6640625" style="1" customWidth="1"/>
    <col min="6119" max="6119" width="6" style="1" customWidth="1"/>
    <col min="6120" max="6125" width="3.6640625" style="1" customWidth="1"/>
    <col min="6126" max="6126" width="4" style="1" customWidth="1"/>
    <col min="6127" max="6127" width="3.6640625" style="1" customWidth="1"/>
    <col min="6128" max="6128" width="6" style="1" customWidth="1"/>
    <col min="6129" max="6129" width="0.33203125" style="1" customWidth="1"/>
    <col min="6130" max="6136" width="3.6640625" style="1" customWidth="1"/>
    <col min="6137" max="6137" width="6.109375" style="1" customWidth="1"/>
    <col min="6138" max="6145" width="3.6640625" style="1" customWidth="1"/>
    <col min="6146" max="6146" width="6.33203125" style="1" customWidth="1"/>
    <col min="6147" max="6154" width="3.6640625" style="1" customWidth="1"/>
    <col min="6155" max="6155" width="5.6640625" style="1" customWidth="1"/>
    <col min="6156" max="6163" width="3.6640625" style="1" customWidth="1"/>
    <col min="6164" max="6164" width="6.33203125" style="1" customWidth="1"/>
    <col min="6165" max="6172" width="3.6640625" style="1" customWidth="1"/>
    <col min="6173" max="6173" width="4" style="1" customWidth="1"/>
    <col min="6174" max="6174" width="5.88671875" style="1" customWidth="1"/>
    <col min="6175" max="6175" width="4.5546875" style="1" customWidth="1"/>
    <col min="6176" max="6177" width="4.44140625" style="1" customWidth="1"/>
    <col min="6178" max="6178" width="6.109375" style="1" customWidth="1"/>
    <col min="6179" max="6179" width="7" style="1" customWidth="1"/>
    <col min="6180" max="6182" width="3.6640625" style="1" customWidth="1"/>
    <col min="6183" max="6344" width="8.88671875" style="1"/>
    <col min="6345" max="6345" width="11.5546875" style="1" customWidth="1"/>
    <col min="6346" max="6346" width="8.88671875" style="1"/>
    <col min="6347" max="6347" width="18.6640625" style="1" customWidth="1"/>
    <col min="6348" max="6356" width="3.6640625" style="1" customWidth="1"/>
    <col min="6357" max="6357" width="6" style="1" customWidth="1"/>
    <col min="6358" max="6365" width="3.6640625" style="1" customWidth="1"/>
    <col min="6366" max="6366" width="6.5546875" style="1" customWidth="1"/>
    <col min="6367" max="6374" width="3.6640625" style="1" customWidth="1"/>
    <col min="6375" max="6375" width="6" style="1" customWidth="1"/>
    <col min="6376" max="6381" width="3.6640625" style="1" customWidth="1"/>
    <col min="6382" max="6382" width="4" style="1" customWidth="1"/>
    <col min="6383" max="6383" width="3.6640625" style="1" customWidth="1"/>
    <col min="6384" max="6384" width="6" style="1" customWidth="1"/>
    <col min="6385" max="6385" width="0.33203125" style="1" customWidth="1"/>
    <col min="6386" max="6392" width="3.6640625" style="1" customWidth="1"/>
    <col min="6393" max="6393" width="6.109375" style="1" customWidth="1"/>
    <col min="6394" max="6401" width="3.6640625" style="1" customWidth="1"/>
    <col min="6402" max="6402" width="6.33203125" style="1" customWidth="1"/>
    <col min="6403" max="6410" width="3.6640625" style="1" customWidth="1"/>
    <col min="6411" max="6411" width="5.6640625" style="1" customWidth="1"/>
    <col min="6412" max="6419" width="3.6640625" style="1" customWidth="1"/>
    <col min="6420" max="6420" width="6.33203125" style="1" customWidth="1"/>
    <col min="6421" max="6428" width="3.6640625" style="1" customWidth="1"/>
    <col min="6429" max="6429" width="4" style="1" customWidth="1"/>
    <col min="6430" max="6430" width="5.88671875" style="1" customWidth="1"/>
    <col min="6431" max="6431" width="4.5546875" style="1" customWidth="1"/>
    <col min="6432" max="6433" width="4.44140625" style="1" customWidth="1"/>
    <col min="6434" max="6434" width="6.109375" style="1" customWidth="1"/>
    <col min="6435" max="6435" width="7" style="1" customWidth="1"/>
    <col min="6436" max="6438" width="3.6640625" style="1" customWidth="1"/>
    <col min="6439" max="6600" width="8.88671875" style="1"/>
    <col min="6601" max="6601" width="11.5546875" style="1" customWidth="1"/>
    <col min="6602" max="6602" width="8.88671875" style="1"/>
    <col min="6603" max="6603" width="18.6640625" style="1" customWidth="1"/>
    <col min="6604" max="6612" width="3.6640625" style="1" customWidth="1"/>
    <col min="6613" max="6613" width="6" style="1" customWidth="1"/>
    <col min="6614" max="6621" width="3.6640625" style="1" customWidth="1"/>
    <col min="6622" max="6622" width="6.5546875" style="1" customWidth="1"/>
    <col min="6623" max="6630" width="3.6640625" style="1" customWidth="1"/>
    <col min="6631" max="6631" width="6" style="1" customWidth="1"/>
    <col min="6632" max="6637" width="3.6640625" style="1" customWidth="1"/>
    <col min="6638" max="6638" width="4" style="1" customWidth="1"/>
    <col min="6639" max="6639" width="3.6640625" style="1" customWidth="1"/>
    <col min="6640" max="6640" width="6" style="1" customWidth="1"/>
    <col min="6641" max="6641" width="0.33203125" style="1" customWidth="1"/>
    <col min="6642" max="6648" width="3.6640625" style="1" customWidth="1"/>
    <col min="6649" max="6649" width="6.109375" style="1" customWidth="1"/>
    <col min="6650" max="6657" width="3.6640625" style="1" customWidth="1"/>
    <col min="6658" max="6658" width="6.33203125" style="1" customWidth="1"/>
    <col min="6659" max="6666" width="3.6640625" style="1" customWidth="1"/>
    <col min="6667" max="6667" width="5.6640625" style="1" customWidth="1"/>
    <col min="6668" max="6675" width="3.6640625" style="1" customWidth="1"/>
    <col min="6676" max="6676" width="6.33203125" style="1" customWidth="1"/>
    <col min="6677" max="6684" width="3.6640625" style="1" customWidth="1"/>
    <col min="6685" max="6685" width="4" style="1" customWidth="1"/>
    <col min="6686" max="6686" width="5.88671875" style="1" customWidth="1"/>
    <col min="6687" max="6687" width="4.5546875" style="1" customWidth="1"/>
    <col min="6688" max="6689" width="4.44140625" style="1" customWidth="1"/>
    <col min="6690" max="6690" width="6.109375" style="1" customWidth="1"/>
    <col min="6691" max="6691" width="7" style="1" customWidth="1"/>
    <col min="6692" max="6694" width="3.6640625" style="1" customWidth="1"/>
    <col min="6695" max="6856" width="8.88671875" style="1"/>
    <col min="6857" max="6857" width="11.5546875" style="1" customWidth="1"/>
    <col min="6858" max="6858" width="8.88671875" style="1"/>
    <col min="6859" max="6859" width="18.6640625" style="1" customWidth="1"/>
    <col min="6860" max="6868" width="3.6640625" style="1" customWidth="1"/>
    <col min="6869" max="6869" width="6" style="1" customWidth="1"/>
    <col min="6870" max="6877" width="3.6640625" style="1" customWidth="1"/>
    <col min="6878" max="6878" width="6.5546875" style="1" customWidth="1"/>
    <col min="6879" max="6886" width="3.6640625" style="1" customWidth="1"/>
    <col min="6887" max="6887" width="6" style="1" customWidth="1"/>
    <col min="6888" max="6893" width="3.6640625" style="1" customWidth="1"/>
    <col min="6894" max="6894" width="4" style="1" customWidth="1"/>
    <col min="6895" max="6895" width="3.6640625" style="1" customWidth="1"/>
    <col min="6896" max="6896" width="6" style="1" customWidth="1"/>
    <col min="6897" max="6897" width="0.33203125" style="1" customWidth="1"/>
    <col min="6898" max="6904" width="3.6640625" style="1" customWidth="1"/>
    <col min="6905" max="6905" width="6.109375" style="1" customWidth="1"/>
    <col min="6906" max="6913" width="3.6640625" style="1" customWidth="1"/>
    <col min="6914" max="6914" width="6.33203125" style="1" customWidth="1"/>
    <col min="6915" max="6922" width="3.6640625" style="1" customWidth="1"/>
    <col min="6923" max="6923" width="5.6640625" style="1" customWidth="1"/>
    <col min="6924" max="6931" width="3.6640625" style="1" customWidth="1"/>
    <col min="6932" max="6932" width="6.33203125" style="1" customWidth="1"/>
    <col min="6933" max="6940" width="3.6640625" style="1" customWidth="1"/>
    <col min="6941" max="6941" width="4" style="1" customWidth="1"/>
    <col min="6942" max="6942" width="5.88671875" style="1" customWidth="1"/>
    <col min="6943" max="6943" width="4.5546875" style="1" customWidth="1"/>
    <col min="6944" max="6945" width="4.44140625" style="1" customWidth="1"/>
    <col min="6946" max="6946" width="6.109375" style="1" customWidth="1"/>
    <col min="6947" max="6947" width="7" style="1" customWidth="1"/>
    <col min="6948" max="6950" width="3.6640625" style="1" customWidth="1"/>
    <col min="6951" max="7112" width="8.88671875" style="1"/>
    <col min="7113" max="7113" width="11.5546875" style="1" customWidth="1"/>
    <col min="7114" max="7114" width="8.88671875" style="1"/>
    <col min="7115" max="7115" width="18.6640625" style="1" customWidth="1"/>
    <col min="7116" max="7124" width="3.6640625" style="1" customWidth="1"/>
    <col min="7125" max="7125" width="6" style="1" customWidth="1"/>
    <col min="7126" max="7133" width="3.6640625" style="1" customWidth="1"/>
    <col min="7134" max="7134" width="6.5546875" style="1" customWidth="1"/>
    <col min="7135" max="7142" width="3.6640625" style="1" customWidth="1"/>
    <col min="7143" max="7143" width="6" style="1" customWidth="1"/>
    <col min="7144" max="7149" width="3.6640625" style="1" customWidth="1"/>
    <col min="7150" max="7150" width="4" style="1" customWidth="1"/>
    <col min="7151" max="7151" width="3.6640625" style="1" customWidth="1"/>
    <col min="7152" max="7152" width="6" style="1" customWidth="1"/>
    <col min="7153" max="7153" width="0.33203125" style="1" customWidth="1"/>
    <col min="7154" max="7160" width="3.6640625" style="1" customWidth="1"/>
    <col min="7161" max="7161" width="6.109375" style="1" customWidth="1"/>
    <col min="7162" max="7169" width="3.6640625" style="1" customWidth="1"/>
    <col min="7170" max="7170" width="6.33203125" style="1" customWidth="1"/>
    <col min="7171" max="7178" width="3.6640625" style="1" customWidth="1"/>
    <col min="7179" max="7179" width="5.6640625" style="1" customWidth="1"/>
    <col min="7180" max="7187" width="3.6640625" style="1" customWidth="1"/>
    <col min="7188" max="7188" width="6.33203125" style="1" customWidth="1"/>
    <col min="7189" max="7196" width="3.6640625" style="1" customWidth="1"/>
    <col min="7197" max="7197" width="4" style="1" customWidth="1"/>
    <col min="7198" max="7198" width="5.88671875" style="1" customWidth="1"/>
    <col min="7199" max="7199" width="4.5546875" style="1" customWidth="1"/>
    <col min="7200" max="7201" width="4.44140625" style="1" customWidth="1"/>
    <col min="7202" max="7202" width="6.109375" style="1" customWidth="1"/>
    <col min="7203" max="7203" width="7" style="1" customWidth="1"/>
    <col min="7204" max="7206" width="3.6640625" style="1" customWidth="1"/>
    <col min="7207" max="7368" width="8.88671875" style="1"/>
    <col min="7369" max="7369" width="11.5546875" style="1" customWidth="1"/>
    <col min="7370" max="7370" width="8.88671875" style="1"/>
    <col min="7371" max="7371" width="18.6640625" style="1" customWidth="1"/>
    <col min="7372" max="7380" width="3.6640625" style="1" customWidth="1"/>
    <col min="7381" max="7381" width="6" style="1" customWidth="1"/>
    <col min="7382" max="7389" width="3.6640625" style="1" customWidth="1"/>
    <col min="7390" max="7390" width="6.5546875" style="1" customWidth="1"/>
    <col min="7391" max="7398" width="3.6640625" style="1" customWidth="1"/>
    <col min="7399" max="7399" width="6" style="1" customWidth="1"/>
    <col min="7400" max="7405" width="3.6640625" style="1" customWidth="1"/>
    <col min="7406" max="7406" width="4" style="1" customWidth="1"/>
    <col min="7407" max="7407" width="3.6640625" style="1" customWidth="1"/>
    <col min="7408" max="7408" width="6" style="1" customWidth="1"/>
    <col min="7409" max="7409" width="0.33203125" style="1" customWidth="1"/>
    <col min="7410" max="7416" width="3.6640625" style="1" customWidth="1"/>
    <col min="7417" max="7417" width="6.109375" style="1" customWidth="1"/>
    <col min="7418" max="7425" width="3.6640625" style="1" customWidth="1"/>
    <col min="7426" max="7426" width="6.33203125" style="1" customWidth="1"/>
    <col min="7427" max="7434" width="3.6640625" style="1" customWidth="1"/>
    <col min="7435" max="7435" width="5.6640625" style="1" customWidth="1"/>
    <col min="7436" max="7443" width="3.6640625" style="1" customWidth="1"/>
    <col min="7444" max="7444" width="6.33203125" style="1" customWidth="1"/>
    <col min="7445" max="7452" width="3.6640625" style="1" customWidth="1"/>
    <col min="7453" max="7453" width="4" style="1" customWidth="1"/>
    <col min="7454" max="7454" width="5.88671875" style="1" customWidth="1"/>
    <col min="7455" max="7455" width="4.5546875" style="1" customWidth="1"/>
    <col min="7456" max="7457" width="4.44140625" style="1" customWidth="1"/>
    <col min="7458" max="7458" width="6.109375" style="1" customWidth="1"/>
    <col min="7459" max="7459" width="7" style="1" customWidth="1"/>
    <col min="7460" max="7462" width="3.6640625" style="1" customWidth="1"/>
    <col min="7463" max="7624" width="8.88671875" style="1"/>
    <col min="7625" max="7625" width="11.5546875" style="1" customWidth="1"/>
    <col min="7626" max="7626" width="8.88671875" style="1"/>
    <col min="7627" max="7627" width="18.6640625" style="1" customWidth="1"/>
    <col min="7628" max="7636" width="3.6640625" style="1" customWidth="1"/>
    <col min="7637" max="7637" width="6" style="1" customWidth="1"/>
    <col min="7638" max="7645" width="3.6640625" style="1" customWidth="1"/>
    <col min="7646" max="7646" width="6.5546875" style="1" customWidth="1"/>
    <col min="7647" max="7654" width="3.6640625" style="1" customWidth="1"/>
    <col min="7655" max="7655" width="6" style="1" customWidth="1"/>
    <col min="7656" max="7661" width="3.6640625" style="1" customWidth="1"/>
    <col min="7662" max="7662" width="4" style="1" customWidth="1"/>
    <col min="7663" max="7663" width="3.6640625" style="1" customWidth="1"/>
    <col min="7664" max="7664" width="6" style="1" customWidth="1"/>
    <col min="7665" max="7665" width="0.33203125" style="1" customWidth="1"/>
    <col min="7666" max="7672" width="3.6640625" style="1" customWidth="1"/>
    <col min="7673" max="7673" width="6.109375" style="1" customWidth="1"/>
    <col min="7674" max="7681" width="3.6640625" style="1" customWidth="1"/>
    <col min="7682" max="7682" width="6.33203125" style="1" customWidth="1"/>
    <col min="7683" max="7690" width="3.6640625" style="1" customWidth="1"/>
    <col min="7691" max="7691" width="5.6640625" style="1" customWidth="1"/>
    <col min="7692" max="7699" width="3.6640625" style="1" customWidth="1"/>
    <col min="7700" max="7700" width="6.33203125" style="1" customWidth="1"/>
    <col min="7701" max="7708" width="3.6640625" style="1" customWidth="1"/>
    <col min="7709" max="7709" width="4" style="1" customWidth="1"/>
    <col min="7710" max="7710" width="5.88671875" style="1" customWidth="1"/>
    <col min="7711" max="7711" width="4.5546875" style="1" customWidth="1"/>
    <col min="7712" max="7713" width="4.44140625" style="1" customWidth="1"/>
    <col min="7714" max="7714" width="6.109375" style="1" customWidth="1"/>
    <col min="7715" max="7715" width="7" style="1" customWidth="1"/>
    <col min="7716" max="7718" width="3.6640625" style="1" customWidth="1"/>
    <col min="7719" max="7880" width="8.88671875" style="1"/>
    <col min="7881" max="7881" width="11.5546875" style="1" customWidth="1"/>
    <col min="7882" max="7882" width="8.88671875" style="1"/>
    <col min="7883" max="7883" width="18.6640625" style="1" customWidth="1"/>
    <col min="7884" max="7892" width="3.6640625" style="1" customWidth="1"/>
    <col min="7893" max="7893" width="6" style="1" customWidth="1"/>
    <col min="7894" max="7901" width="3.6640625" style="1" customWidth="1"/>
    <col min="7902" max="7902" width="6.5546875" style="1" customWidth="1"/>
    <col min="7903" max="7910" width="3.6640625" style="1" customWidth="1"/>
    <col min="7911" max="7911" width="6" style="1" customWidth="1"/>
    <col min="7912" max="7917" width="3.6640625" style="1" customWidth="1"/>
    <col min="7918" max="7918" width="4" style="1" customWidth="1"/>
    <col min="7919" max="7919" width="3.6640625" style="1" customWidth="1"/>
    <col min="7920" max="7920" width="6" style="1" customWidth="1"/>
    <col min="7921" max="7921" width="0.33203125" style="1" customWidth="1"/>
    <col min="7922" max="7928" width="3.6640625" style="1" customWidth="1"/>
    <col min="7929" max="7929" width="6.109375" style="1" customWidth="1"/>
    <col min="7930" max="7937" width="3.6640625" style="1" customWidth="1"/>
    <col min="7938" max="7938" width="6.33203125" style="1" customWidth="1"/>
    <col min="7939" max="7946" width="3.6640625" style="1" customWidth="1"/>
    <col min="7947" max="7947" width="5.6640625" style="1" customWidth="1"/>
    <col min="7948" max="7955" width="3.6640625" style="1" customWidth="1"/>
    <col min="7956" max="7956" width="6.33203125" style="1" customWidth="1"/>
    <col min="7957" max="7964" width="3.6640625" style="1" customWidth="1"/>
    <col min="7965" max="7965" width="4" style="1" customWidth="1"/>
    <col min="7966" max="7966" width="5.88671875" style="1" customWidth="1"/>
    <col min="7967" max="7967" width="4.5546875" style="1" customWidth="1"/>
    <col min="7968" max="7969" width="4.44140625" style="1" customWidth="1"/>
    <col min="7970" max="7970" width="6.109375" style="1" customWidth="1"/>
    <col min="7971" max="7971" width="7" style="1" customWidth="1"/>
    <col min="7972" max="7974" width="3.6640625" style="1" customWidth="1"/>
    <col min="7975" max="8136" width="8.88671875" style="1"/>
    <col min="8137" max="8137" width="11.5546875" style="1" customWidth="1"/>
    <col min="8138" max="8138" width="8.88671875" style="1"/>
    <col min="8139" max="8139" width="18.6640625" style="1" customWidth="1"/>
    <col min="8140" max="8148" width="3.6640625" style="1" customWidth="1"/>
    <col min="8149" max="8149" width="6" style="1" customWidth="1"/>
    <col min="8150" max="8157" width="3.6640625" style="1" customWidth="1"/>
    <col min="8158" max="8158" width="6.5546875" style="1" customWidth="1"/>
    <col min="8159" max="8166" width="3.6640625" style="1" customWidth="1"/>
    <col min="8167" max="8167" width="6" style="1" customWidth="1"/>
    <col min="8168" max="8173" width="3.6640625" style="1" customWidth="1"/>
    <col min="8174" max="8174" width="4" style="1" customWidth="1"/>
    <col min="8175" max="8175" width="3.6640625" style="1" customWidth="1"/>
    <col min="8176" max="8176" width="6" style="1" customWidth="1"/>
    <col min="8177" max="8177" width="0.33203125" style="1" customWidth="1"/>
    <col min="8178" max="8184" width="3.6640625" style="1" customWidth="1"/>
    <col min="8185" max="8185" width="6.109375" style="1" customWidth="1"/>
    <col min="8186" max="8193" width="3.6640625" style="1" customWidth="1"/>
    <col min="8194" max="8194" width="6.33203125" style="1" customWidth="1"/>
    <col min="8195" max="8202" width="3.6640625" style="1" customWidth="1"/>
    <col min="8203" max="8203" width="5.6640625" style="1" customWidth="1"/>
    <col min="8204" max="8211" width="3.6640625" style="1" customWidth="1"/>
    <col min="8212" max="8212" width="6.33203125" style="1" customWidth="1"/>
    <col min="8213" max="8220" width="3.6640625" style="1" customWidth="1"/>
    <col min="8221" max="8221" width="4" style="1" customWidth="1"/>
    <col min="8222" max="8222" width="5.88671875" style="1" customWidth="1"/>
    <col min="8223" max="8223" width="4.5546875" style="1" customWidth="1"/>
    <col min="8224" max="8225" width="4.44140625" style="1" customWidth="1"/>
    <col min="8226" max="8226" width="6.109375" style="1" customWidth="1"/>
    <col min="8227" max="8227" width="7" style="1" customWidth="1"/>
    <col min="8228" max="8230" width="3.6640625" style="1" customWidth="1"/>
    <col min="8231" max="8392" width="8.88671875" style="1"/>
    <col min="8393" max="8393" width="11.5546875" style="1" customWidth="1"/>
    <col min="8394" max="8394" width="8.88671875" style="1"/>
    <col min="8395" max="8395" width="18.6640625" style="1" customWidth="1"/>
    <col min="8396" max="8404" width="3.6640625" style="1" customWidth="1"/>
    <col min="8405" max="8405" width="6" style="1" customWidth="1"/>
    <col min="8406" max="8413" width="3.6640625" style="1" customWidth="1"/>
    <col min="8414" max="8414" width="6.5546875" style="1" customWidth="1"/>
    <col min="8415" max="8422" width="3.6640625" style="1" customWidth="1"/>
    <col min="8423" max="8423" width="6" style="1" customWidth="1"/>
    <col min="8424" max="8429" width="3.6640625" style="1" customWidth="1"/>
    <col min="8430" max="8430" width="4" style="1" customWidth="1"/>
    <col min="8431" max="8431" width="3.6640625" style="1" customWidth="1"/>
    <col min="8432" max="8432" width="6" style="1" customWidth="1"/>
    <col min="8433" max="8433" width="0.33203125" style="1" customWidth="1"/>
    <col min="8434" max="8440" width="3.6640625" style="1" customWidth="1"/>
    <col min="8441" max="8441" width="6.109375" style="1" customWidth="1"/>
    <col min="8442" max="8449" width="3.6640625" style="1" customWidth="1"/>
    <col min="8450" max="8450" width="6.33203125" style="1" customWidth="1"/>
    <col min="8451" max="8458" width="3.6640625" style="1" customWidth="1"/>
    <col min="8459" max="8459" width="5.6640625" style="1" customWidth="1"/>
    <col min="8460" max="8467" width="3.6640625" style="1" customWidth="1"/>
    <col min="8468" max="8468" width="6.33203125" style="1" customWidth="1"/>
    <col min="8469" max="8476" width="3.6640625" style="1" customWidth="1"/>
    <col min="8477" max="8477" width="4" style="1" customWidth="1"/>
    <col min="8478" max="8478" width="5.88671875" style="1" customWidth="1"/>
    <col min="8479" max="8479" width="4.5546875" style="1" customWidth="1"/>
    <col min="8480" max="8481" width="4.44140625" style="1" customWidth="1"/>
    <col min="8482" max="8482" width="6.109375" style="1" customWidth="1"/>
    <col min="8483" max="8483" width="7" style="1" customWidth="1"/>
    <col min="8484" max="8486" width="3.6640625" style="1" customWidth="1"/>
    <col min="8487" max="8648" width="8.88671875" style="1"/>
    <col min="8649" max="8649" width="11.5546875" style="1" customWidth="1"/>
    <col min="8650" max="8650" width="8.88671875" style="1"/>
    <col min="8651" max="8651" width="18.6640625" style="1" customWidth="1"/>
    <col min="8652" max="8660" width="3.6640625" style="1" customWidth="1"/>
    <col min="8661" max="8661" width="6" style="1" customWidth="1"/>
    <col min="8662" max="8669" width="3.6640625" style="1" customWidth="1"/>
    <col min="8670" max="8670" width="6.5546875" style="1" customWidth="1"/>
    <col min="8671" max="8678" width="3.6640625" style="1" customWidth="1"/>
    <col min="8679" max="8679" width="6" style="1" customWidth="1"/>
    <col min="8680" max="8685" width="3.6640625" style="1" customWidth="1"/>
    <col min="8686" max="8686" width="4" style="1" customWidth="1"/>
    <col min="8687" max="8687" width="3.6640625" style="1" customWidth="1"/>
    <col min="8688" max="8688" width="6" style="1" customWidth="1"/>
    <col min="8689" max="8689" width="0.33203125" style="1" customWidth="1"/>
    <col min="8690" max="8696" width="3.6640625" style="1" customWidth="1"/>
    <col min="8697" max="8697" width="6.109375" style="1" customWidth="1"/>
    <col min="8698" max="8705" width="3.6640625" style="1" customWidth="1"/>
    <col min="8706" max="8706" width="6.33203125" style="1" customWidth="1"/>
    <col min="8707" max="8714" width="3.6640625" style="1" customWidth="1"/>
    <col min="8715" max="8715" width="5.6640625" style="1" customWidth="1"/>
    <col min="8716" max="8723" width="3.6640625" style="1" customWidth="1"/>
    <col min="8724" max="8724" width="6.33203125" style="1" customWidth="1"/>
    <col min="8725" max="8732" width="3.6640625" style="1" customWidth="1"/>
    <col min="8733" max="8733" width="4" style="1" customWidth="1"/>
    <col min="8734" max="8734" width="5.88671875" style="1" customWidth="1"/>
    <col min="8735" max="8735" width="4.5546875" style="1" customWidth="1"/>
    <col min="8736" max="8737" width="4.44140625" style="1" customWidth="1"/>
    <col min="8738" max="8738" width="6.109375" style="1" customWidth="1"/>
    <col min="8739" max="8739" width="7" style="1" customWidth="1"/>
    <col min="8740" max="8742" width="3.6640625" style="1" customWidth="1"/>
    <col min="8743" max="8904" width="8.88671875" style="1"/>
    <col min="8905" max="8905" width="11.5546875" style="1" customWidth="1"/>
    <col min="8906" max="8906" width="8.88671875" style="1"/>
    <col min="8907" max="8907" width="18.6640625" style="1" customWidth="1"/>
    <col min="8908" max="8916" width="3.6640625" style="1" customWidth="1"/>
    <col min="8917" max="8917" width="6" style="1" customWidth="1"/>
    <col min="8918" max="8925" width="3.6640625" style="1" customWidth="1"/>
    <col min="8926" max="8926" width="6.5546875" style="1" customWidth="1"/>
    <col min="8927" max="8934" width="3.6640625" style="1" customWidth="1"/>
    <col min="8935" max="8935" width="6" style="1" customWidth="1"/>
    <col min="8936" max="8941" width="3.6640625" style="1" customWidth="1"/>
    <col min="8942" max="8942" width="4" style="1" customWidth="1"/>
    <col min="8943" max="8943" width="3.6640625" style="1" customWidth="1"/>
    <col min="8944" max="8944" width="6" style="1" customWidth="1"/>
    <col min="8945" max="8945" width="0.33203125" style="1" customWidth="1"/>
    <col min="8946" max="8952" width="3.6640625" style="1" customWidth="1"/>
    <col min="8953" max="8953" width="6.109375" style="1" customWidth="1"/>
    <col min="8954" max="8961" width="3.6640625" style="1" customWidth="1"/>
    <col min="8962" max="8962" width="6.33203125" style="1" customWidth="1"/>
    <col min="8963" max="8970" width="3.6640625" style="1" customWidth="1"/>
    <col min="8971" max="8971" width="5.6640625" style="1" customWidth="1"/>
    <col min="8972" max="8979" width="3.6640625" style="1" customWidth="1"/>
    <col min="8980" max="8980" width="6.33203125" style="1" customWidth="1"/>
    <col min="8981" max="8988" width="3.6640625" style="1" customWidth="1"/>
    <col min="8989" max="8989" width="4" style="1" customWidth="1"/>
    <col min="8990" max="8990" width="5.88671875" style="1" customWidth="1"/>
    <col min="8991" max="8991" width="4.5546875" style="1" customWidth="1"/>
    <col min="8992" max="8993" width="4.44140625" style="1" customWidth="1"/>
    <col min="8994" max="8994" width="6.109375" style="1" customWidth="1"/>
    <col min="8995" max="8995" width="7" style="1" customWidth="1"/>
    <col min="8996" max="8998" width="3.6640625" style="1" customWidth="1"/>
    <col min="8999" max="9160" width="8.88671875" style="1"/>
    <col min="9161" max="9161" width="11.5546875" style="1" customWidth="1"/>
    <col min="9162" max="9162" width="8.88671875" style="1"/>
    <col min="9163" max="9163" width="18.6640625" style="1" customWidth="1"/>
    <col min="9164" max="9172" width="3.6640625" style="1" customWidth="1"/>
    <col min="9173" max="9173" width="6" style="1" customWidth="1"/>
    <col min="9174" max="9181" width="3.6640625" style="1" customWidth="1"/>
    <col min="9182" max="9182" width="6.5546875" style="1" customWidth="1"/>
    <col min="9183" max="9190" width="3.6640625" style="1" customWidth="1"/>
    <col min="9191" max="9191" width="6" style="1" customWidth="1"/>
    <col min="9192" max="9197" width="3.6640625" style="1" customWidth="1"/>
    <col min="9198" max="9198" width="4" style="1" customWidth="1"/>
    <col min="9199" max="9199" width="3.6640625" style="1" customWidth="1"/>
    <col min="9200" max="9200" width="6" style="1" customWidth="1"/>
    <col min="9201" max="9201" width="0.33203125" style="1" customWidth="1"/>
    <col min="9202" max="9208" width="3.6640625" style="1" customWidth="1"/>
    <col min="9209" max="9209" width="6.109375" style="1" customWidth="1"/>
    <col min="9210" max="9217" width="3.6640625" style="1" customWidth="1"/>
    <col min="9218" max="9218" width="6.33203125" style="1" customWidth="1"/>
    <col min="9219" max="9226" width="3.6640625" style="1" customWidth="1"/>
    <col min="9227" max="9227" width="5.6640625" style="1" customWidth="1"/>
    <col min="9228" max="9235" width="3.6640625" style="1" customWidth="1"/>
    <col min="9236" max="9236" width="6.33203125" style="1" customWidth="1"/>
    <col min="9237" max="9244" width="3.6640625" style="1" customWidth="1"/>
    <col min="9245" max="9245" width="4" style="1" customWidth="1"/>
    <col min="9246" max="9246" width="5.88671875" style="1" customWidth="1"/>
    <col min="9247" max="9247" width="4.5546875" style="1" customWidth="1"/>
    <col min="9248" max="9249" width="4.44140625" style="1" customWidth="1"/>
    <col min="9250" max="9250" width="6.109375" style="1" customWidth="1"/>
    <col min="9251" max="9251" width="7" style="1" customWidth="1"/>
    <col min="9252" max="9254" width="3.6640625" style="1" customWidth="1"/>
    <col min="9255" max="9416" width="8.88671875" style="1"/>
    <col min="9417" max="9417" width="11.5546875" style="1" customWidth="1"/>
    <col min="9418" max="9418" width="8.88671875" style="1"/>
    <col min="9419" max="9419" width="18.6640625" style="1" customWidth="1"/>
    <col min="9420" max="9428" width="3.6640625" style="1" customWidth="1"/>
    <col min="9429" max="9429" width="6" style="1" customWidth="1"/>
    <col min="9430" max="9437" width="3.6640625" style="1" customWidth="1"/>
    <col min="9438" max="9438" width="6.5546875" style="1" customWidth="1"/>
    <col min="9439" max="9446" width="3.6640625" style="1" customWidth="1"/>
    <col min="9447" max="9447" width="6" style="1" customWidth="1"/>
    <col min="9448" max="9453" width="3.6640625" style="1" customWidth="1"/>
    <col min="9454" max="9454" width="4" style="1" customWidth="1"/>
    <col min="9455" max="9455" width="3.6640625" style="1" customWidth="1"/>
    <col min="9456" max="9456" width="6" style="1" customWidth="1"/>
    <col min="9457" max="9457" width="0.33203125" style="1" customWidth="1"/>
    <col min="9458" max="9464" width="3.6640625" style="1" customWidth="1"/>
    <col min="9465" max="9465" width="6.109375" style="1" customWidth="1"/>
    <col min="9466" max="9473" width="3.6640625" style="1" customWidth="1"/>
    <col min="9474" max="9474" width="6.33203125" style="1" customWidth="1"/>
    <col min="9475" max="9482" width="3.6640625" style="1" customWidth="1"/>
    <col min="9483" max="9483" width="5.6640625" style="1" customWidth="1"/>
    <col min="9484" max="9491" width="3.6640625" style="1" customWidth="1"/>
    <col min="9492" max="9492" width="6.33203125" style="1" customWidth="1"/>
    <col min="9493" max="9500" width="3.6640625" style="1" customWidth="1"/>
    <col min="9501" max="9501" width="4" style="1" customWidth="1"/>
    <col min="9502" max="9502" width="5.88671875" style="1" customWidth="1"/>
    <col min="9503" max="9503" width="4.5546875" style="1" customWidth="1"/>
    <col min="9504" max="9505" width="4.44140625" style="1" customWidth="1"/>
    <col min="9506" max="9506" width="6.109375" style="1" customWidth="1"/>
    <col min="9507" max="9507" width="7" style="1" customWidth="1"/>
    <col min="9508" max="9510" width="3.6640625" style="1" customWidth="1"/>
    <col min="9511" max="9672" width="8.88671875" style="1"/>
    <col min="9673" max="9673" width="11.5546875" style="1" customWidth="1"/>
    <col min="9674" max="9674" width="8.88671875" style="1"/>
    <col min="9675" max="9675" width="18.6640625" style="1" customWidth="1"/>
    <col min="9676" max="9684" width="3.6640625" style="1" customWidth="1"/>
    <col min="9685" max="9685" width="6" style="1" customWidth="1"/>
    <col min="9686" max="9693" width="3.6640625" style="1" customWidth="1"/>
    <col min="9694" max="9694" width="6.5546875" style="1" customWidth="1"/>
    <col min="9695" max="9702" width="3.6640625" style="1" customWidth="1"/>
    <col min="9703" max="9703" width="6" style="1" customWidth="1"/>
    <col min="9704" max="9709" width="3.6640625" style="1" customWidth="1"/>
    <col min="9710" max="9710" width="4" style="1" customWidth="1"/>
    <col min="9711" max="9711" width="3.6640625" style="1" customWidth="1"/>
    <col min="9712" max="9712" width="6" style="1" customWidth="1"/>
    <col min="9713" max="9713" width="0.33203125" style="1" customWidth="1"/>
    <col min="9714" max="9720" width="3.6640625" style="1" customWidth="1"/>
    <col min="9721" max="9721" width="6.109375" style="1" customWidth="1"/>
    <col min="9722" max="9729" width="3.6640625" style="1" customWidth="1"/>
    <col min="9730" max="9730" width="6.33203125" style="1" customWidth="1"/>
    <col min="9731" max="9738" width="3.6640625" style="1" customWidth="1"/>
    <col min="9739" max="9739" width="5.6640625" style="1" customWidth="1"/>
    <col min="9740" max="9747" width="3.6640625" style="1" customWidth="1"/>
    <col min="9748" max="9748" width="6.33203125" style="1" customWidth="1"/>
    <col min="9749" max="9756" width="3.6640625" style="1" customWidth="1"/>
    <col min="9757" max="9757" width="4" style="1" customWidth="1"/>
    <col min="9758" max="9758" width="5.88671875" style="1" customWidth="1"/>
    <col min="9759" max="9759" width="4.5546875" style="1" customWidth="1"/>
    <col min="9760" max="9761" width="4.44140625" style="1" customWidth="1"/>
    <col min="9762" max="9762" width="6.109375" style="1" customWidth="1"/>
    <col min="9763" max="9763" width="7" style="1" customWidth="1"/>
    <col min="9764" max="9766" width="3.6640625" style="1" customWidth="1"/>
    <col min="9767" max="9928" width="8.88671875" style="1"/>
    <col min="9929" max="9929" width="11.5546875" style="1" customWidth="1"/>
    <col min="9930" max="9930" width="8.88671875" style="1"/>
    <col min="9931" max="9931" width="18.6640625" style="1" customWidth="1"/>
    <col min="9932" max="9940" width="3.6640625" style="1" customWidth="1"/>
    <col min="9941" max="9941" width="6" style="1" customWidth="1"/>
    <col min="9942" max="9949" width="3.6640625" style="1" customWidth="1"/>
    <col min="9950" max="9950" width="6.5546875" style="1" customWidth="1"/>
    <col min="9951" max="9958" width="3.6640625" style="1" customWidth="1"/>
    <col min="9959" max="9959" width="6" style="1" customWidth="1"/>
    <col min="9960" max="9965" width="3.6640625" style="1" customWidth="1"/>
    <col min="9966" max="9966" width="4" style="1" customWidth="1"/>
    <col min="9967" max="9967" width="3.6640625" style="1" customWidth="1"/>
    <col min="9968" max="9968" width="6" style="1" customWidth="1"/>
    <col min="9969" max="9969" width="0.33203125" style="1" customWidth="1"/>
    <col min="9970" max="9976" width="3.6640625" style="1" customWidth="1"/>
    <col min="9977" max="9977" width="6.109375" style="1" customWidth="1"/>
    <col min="9978" max="9985" width="3.6640625" style="1" customWidth="1"/>
    <col min="9986" max="9986" width="6.33203125" style="1" customWidth="1"/>
    <col min="9987" max="9994" width="3.6640625" style="1" customWidth="1"/>
    <col min="9995" max="9995" width="5.6640625" style="1" customWidth="1"/>
    <col min="9996" max="10003" width="3.6640625" style="1" customWidth="1"/>
    <col min="10004" max="10004" width="6.33203125" style="1" customWidth="1"/>
    <col min="10005" max="10012" width="3.6640625" style="1" customWidth="1"/>
    <col min="10013" max="10013" width="4" style="1" customWidth="1"/>
    <col min="10014" max="10014" width="5.88671875" style="1" customWidth="1"/>
    <col min="10015" max="10015" width="4.5546875" style="1" customWidth="1"/>
    <col min="10016" max="10017" width="4.44140625" style="1" customWidth="1"/>
    <col min="10018" max="10018" width="6.109375" style="1" customWidth="1"/>
    <col min="10019" max="10019" width="7" style="1" customWidth="1"/>
    <col min="10020" max="10022" width="3.6640625" style="1" customWidth="1"/>
    <col min="10023" max="10184" width="8.88671875" style="1"/>
    <col min="10185" max="10185" width="11.5546875" style="1" customWidth="1"/>
    <col min="10186" max="10186" width="8.88671875" style="1"/>
    <col min="10187" max="10187" width="18.6640625" style="1" customWidth="1"/>
    <col min="10188" max="10196" width="3.6640625" style="1" customWidth="1"/>
    <col min="10197" max="10197" width="6" style="1" customWidth="1"/>
    <col min="10198" max="10205" width="3.6640625" style="1" customWidth="1"/>
    <col min="10206" max="10206" width="6.5546875" style="1" customWidth="1"/>
    <col min="10207" max="10214" width="3.6640625" style="1" customWidth="1"/>
    <col min="10215" max="10215" width="6" style="1" customWidth="1"/>
    <col min="10216" max="10221" width="3.6640625" style="1" customWidth="1"/>
    <col min="10222" max="10222" width="4" style="1" customWidth="1"/>
    <col min="10223" max="10223" width="3.6640625" style="1" customWidth="1"/>
    <col min="10224" max="10224" width="6" style="1" customWidth="1"/>
    <col min="10225" max="10225" width="0.33203125" style="1" customWidth="1"/>
    <col min="10226" max="10232" width="3.6640625" style="1" customWidth="1"/>
    <col min="10233" max="10233" width="6.109375" style="1" customWidth="1"/>
    <col min="10234" max="10241" width="3.6640625" style="1" customWidth="1"/>
    <col min="10242" max="10242" width="6.33203125" style="1" customWidth="1"/>
    <col min="10243" max="10250" width="3.6640625" style="1" customWidth="1"/>
    <col min="10251" max="10251" width="5.6640625" style="1" customWidth="1"/>
    <col min="10252" max="10259" width="3.6640625" style="1" customWidth="1"/>
    <col min="10260" max="10260" width="6.33203125" style="1" customWidth="1"/>
    <col min="10261" max="10268" width="3.6640625" style="1" customWidth="1"/>
    <col min="10269" max="10269" width="4" style="1" customWidth="1"/>
    <col min="10270" max="10270" width="5.88671875" style="1" customWidth="1"/>
    <col min="10271" max="10271" width="4.5546875" style="1" customWidth="1"/>
    <col min="10272" max="10273" width="4.44140625" style="1" customWidth="1"/>
    <col min="10274" max="10274" width="6.109375" style="1" customWidth="1"/>
    <col min="10275" max="10275" width="7" style="1" customWidth="1"/>
    <col min="10276" max="10278" width="3.6640625" style="1" customWidth="1"/>
    <col min="10279" max="10440" width="8.88671875" style="1"/>
    <col min="10441" max="10441" width="11.5546875" style="1" customWidth="1"/>
    <col min="10442" max="10442" width="8.88671875" style="1"/>
    <col min="10443" max="10443" width="18.6640625" style="1" customWidth="1"/>
    <col min="10444" max="10452" width="3.6640625" style="1" customWidth="1"/>
    <col min="10453" max="10453" width="6" style="1" customWidth="1"/>
    <col min="10454" max="10461" width="3.6640625" style="1" customWidth="1"/>
    <col min="10462" max="10462" width="6.5546875" style="1" customWidth="1"/>
    <col min="10463" max="10470" width="3.6640625" style="1" customWidth="1"/>
    <col min="10471" max="10471" width="6" style="1" customWidth="1"/>
    <col min="10472" max="10477" width="3.6640625" style="1" customWidth="1"/>
    <col min="10478" max="10478" width="4" style="1" customWidth="1"/>
    <col min="10479" max="10479" width="3.6640625" style="1" customWidth="1"/>
    <col min="10480" max="10480" width="6" style="1" customWidth="1"/>
    <col min="10481" max="10481" width="0.33203125" style="1" customWidth="1"/>
    <col min="10482" max="10488" width="3.6640625" style="1" customWidth="1"/>
    <col min="10489" max="10489" width="6.109375" style="1" customWidth="1"/>
    <col min="10490" max="10497" width="3.6640625" style="1" customWidth="1"/>
    <col min="10498" max="10498" width="6.33203125" style="1" customWidth="1"/>
    <col min="10499" max="10506" width="3.6640625" style="1" customWidth="1"/>
    <col min="10507" max="10507" width="5.6640625" style="1" customWidth="1"/>
    <col min="10508" max="10515" width="3.6640625" style="1" customWidth="1"/>
    <col min="10516" max="10516" width="6.33203125" style="1" customWidth="1"/>
    <col min="10517" max="10524" width="3.6640625" style="1" customWidth="1"/>
    <col min="10525" max="10525" width="4" style="1" customWidth="1"/>
    <col min="10526" max="10526" width="5.88671875" style="1" customWidth="1"/>
    <col min="10527" max="10527" width="4.5546875" style="1" customWidth="1"/>
    <col min="10528" max="10529" width="4.44140625" style="1" customWidth="1"/>
    <col min="10530" max="10530" width="6.109375" style="1" customWidth="1"/>
    <col min="10531" max="10531" width="7" style="1" customWidth="1"/>
    <col min="10532" max="10534" width="3.6640625" style="1" customWidth="1"/>
    <col min="10535" max="10696" width="8.88671875" style="1"/>
    <col min="10697" max="10697" width="11.5546875" style="1" customWidth="1"/>
    <col min="10698" max="10698" width="8.88671875" style="1"/>
    <col min="10699" max="10699" width="18.6640625" style="1" customWidth="1"/>
    <col min="10700" max="10708" width="3.6640625" style="1" customWidth="1"/>
    <col min="10709" max="10709" width="6" style="1" customWidth="1"/>
    <col min="10710" max="10717" width="3.6640625" style="1" customWidth="1"/>
    <col min="10718" max="10718" width="6.5546875" style="1" customWidth="1"/>
    <col min="10719" max="10726" width="3.6640625" style="1" customWidth="1"/>
    <col min="10727" max="10727" width="6" style="1" customWidth="1"/>
    <col min="10728" max="10733" width="3.6640625" style="1" customWidth="1"/>
    <col min="10734" max="10734" width="4" style="1" customWidth="1"/>
    <col min="10735" max="10735" width="3.6640625" style="1" customWidth="1"/>
    <col min="10736" max="10736" width="6" style="1" customWidth="1"/>
    <col min="10737" max="10737" width="0.33203125" style="1" customWidth="1"/>
    <col min="10738" max="10744" width="3.6640625" style="1" customWidth="1"/>
    <col min="10745" max="10745" width="6.109375" style="1" customWidth="1"/>
    <col min="10746" max="10753" width="3.6640625" style="1" customWidth="1"/>
    <col min="10754" max="10754" width="6.33203125" style="1" customWidth="1"/>
    <col min="10755" max="10762" width="3.6640625" style="1" customWidth="1"/>
    <col min="10763" max="10763" width="5.6640625" style="1" customWidth="1"/>
    <col min="10764" max="10771" width="3.6640625" style="1" customWidth="1"/>
    <col min="10772" max="10772" width="6.33203125" style="1" customWidth="1"/>
    <col min="10773" max="10780" width="3.6640625" style="1" customWidth="1"/>
    <col min="10781" max="10781" width="4" style="1" customWidth="1"/>
    <col min="10782" max="10782" width="5.88671875" style="1" customWidth="1"/>
    <col min="10783" max="10783" width="4.5546875" style="1" customWidth="1"/>
    <col min="10784" max="10785" width="4.44140625" style="1" customWidth="1"/>
    <col min="10786" max="10786" width="6.109375" style="1" customWidth="1"/>
    <col min="10787" max="10787" width="7" style="1" customWidth="1"/>
    <col min="10788" max="10790" width="3.6640625" style="1" customWidth="1"/>
    <col min="10791" max="10952" width="8.88671875" style="1"/>
    <col min="10953" max="10953" width="11.5546875" style="1" customWidth="1"/>
    <col min="10954" max="10954" width="8.88671875" style="1"/>
    <col min="10955" max="10955" width="18.6640625" style="1" customWidth="1"/>
    <col min="10956" max="10964" width="3.6640625" style="1" customWidth="1"/>
    <col min="10965" max="10965" width="6" style="1" customWidth="1"/>
    <col min="10966" max="10973" width="3.6640625" style="1" customWidth="1"/>
    <col min="10974" max="10974" width="6.5546875" style="1" customWidth="1"/>
    <col min="10975" max="10982" width="3.6640625" style="1" customWidth="1"/>
    <col min="10983" max="10983" width="6" style="1" customWidth="1"/>
    <col min="10984" max="10989" width="3.6640625" style="1" customWidth="1"/>
    <col min="10990" max="10990" width="4" style="1" customWidth="1"/>
    <col min="10991" max="10991" width="3.6640625" style="1" customWidth="1"/>
    <col min="10992" max="10992" width="6" style="1" customWidth="1"/>
    <col min="10993" max="10993" width="0.33203125" style="1" customWidth="1"/>
    <col min="10994" max="11000" width="3.6640625" style="1" customWidth="1"/>
    <col min="11001" max="11001" width="6.109375" style="1" customWidth="1"/>
    <col min="11002" max="11009" width="3.6640625" style="1" customWidth="1"/>
    <col min="11010" max="11010" width="6.33203125" style="1" customWidth="1"/>
    <col min="11011" max="11018" width="3.6640625" style="1" customWidth="1"/>
    <col min="11019" max="11019" width="5.6640625" style="1" customWidth="1"/>
    <col min="11020" max="11027" width="3.6640625" style="1" customWidth="1"/>
    <col min="11028" max="11028" width="6.33203125" style="1" customWidth="1"/>
    <col min="11029" max="11036" width="3.6640625" style="1" customWidth="1"/>
    <col min="11037" max="11037" width="4" style="1" customWidth="1"/>
    <col min="11038" max="11038" width="5.88671875" style="1" customWidth="1"/>
    <col min="11039" max="11039" width="4.5546875" style="1" customWidth="1"/>
    <col min="11040" max="11041" width="4.44140625" style="1" customWidth="1"/>
    <col min="11042" max="11042" width="6.109375" style="1" customWidth="1"/>
    <col min="11043" max="11043" width="7" style="1" customWidth="1"/>
    <col min="11044" max="11046" width="3.6640625" style="1" customWidth="1"/>
    <col min="11047" max="11208" width="8.88671875" style="1"/>
    <col min="11209" max="11209" width="11.5546875" style="1" customWidth="1"/>
    <col min="11210" max="11210" width="8.88671875" style="1"/>
    <col min="11211" max="11211" width="18.6640625" style="1" customWidth="1"/>
    <col min="11212" max="11220" width="3.6640625" style="1" customWidth="1"/>
    <col min="11221" max="11221" width="6" style="1" customWidth="1"/>
    <col min="11222" max="11229" width="3.6640625" style="1" customWidth="1"/>
    <col min="11230" max="11230" width="6.5546875" style="1" customWidth="1"/>
    <col min="11231" max="11238" width="3.6640625" style="1" customWidth="1"/>
    <col min="11239" max="11239" width="6" style="1" customWidth="1"/>
    <col min="11240" max="11245" width="3.6640625" style="1" customWidth="1"/>
    <col min="11246" max="11246" width="4" style="1" customWidth="1"/>
    <col min="11247" max="11247" width="3.6640625" style="1" customWidth="1"/>
    <col min="11248" max="11248" width="6" style="1" customWidth="1"/>
    <col min="11249" max="11249" width="0.33203125" style="1" customWidth="1"/>
    <col min="11250" max="11256" width="3.6640625" style="1" customWidth="1"/>
    <col min="11257" max="11257" width="6.109375" style="1" customWidth="1"/>
    <col min="11258" max="11265" width="3.6640625" style="1" customWidth="1"/>
    <col min="11266" max="11266" width="6.33203125" style="1" customWidth="1"/>
    <col min="11267" max="11274" width="3.6640625" style="1" customWidth="1"/>
    <col min="11275" max="11275" width="5.6640625" style="1" customWidth="1"/>
    <col min="11276" max="11283" width="3.6640625" style="1" customWidth="1"/>
    <col min="11284" max="11284" width="6.33203125" style="1" customWidth="1"/>
    <col min="11285" max="11292" width="3.6640625" style="1" customWidth="1"/>
    <col min="11293" max="11293" width="4" style="1" customWidth="1"/>
    <col min="11294" max="11294" width="5.88671875" style="1" customWidth="1"/>
    <col min="11295" max="11295" width="4.5546875" style="1" customWidth="1"/>
    <col min="11296" max="11297" width="4.44140625" style="1" customWidth="1"/>
    <col min="11298" max="11298" width="6.109375" style="1" customWidth="1"/>
    <col min="11299" max="11299" width="7" style="1" customWidth="1"/>
    <col min="11300" max="11302" width="3.6640625" style="1" customWidth="1"/>
    <col min="11303" max="11464" width="8.88671875" style="1"/>
    <col min="11465" max="11465" width="11.5546875" style="1" customWidth="1"/>
    <col min="11466" max="11466" width="8.88671875" style="1"/>
    <col min="11467" max="11467" width="18.6640625" style="1" customWidth="1"/>
    <col min="11468" max="11476" width="3.6640625" style="1" customWidth="1"/>
    <col min="11477" max="11477" width="6" style="1" customWidth="1"/>
    <col min="11478" max="11485" width="3.6640625" style="1" customWidth="1"/>
    <col min="11486" max="11486" width="6.5546875" style="1" customWidth="1"/>
    <col min="11487" max="11494" width="3.6640625" style="1" customWidth="1"/>
    <col min="11495" max="11495" width="6" style="1" customWidth="1"/>
    <col min="11496" max="11501" width="3.6640625" style="1" customWidth="1"/>
    <col min="11502" max="11502" width="4" style="1" customWidth="1"/>
    <col min="11503" max="11503" width="3.6640625" style="1" customWidth="1"/>
    <col min="11504" max="11504" width="6" style="1" customWidth="1"/>
    <col min="11505" max="11505" width="0.33203125" style="1" customWidth="1"/>
    <col min="11506" max="11512" width="3.6640625" style="1" customWidth="1"/>
    <col min="11513" max="11513" width="6.109375" style="1" customWidth="1"/>
    <col min="11514" max="11521" width="3.6640625" style="1" customWidth="1"/>
    <col min="11522" max="11522" width="6.33203125" style="1" customWidth="1"/>
    <col min="11523" max="11530" width="3.6640625" style="1" customWidth="1"/>
    <col min="11531" max="11531" width="5.6640625" style="1" customWidth="1"/>
    <col min="11532" max="11539" width="3.6640625" style="1" customWidth="1"/>
    <col min="11540" max="11540" width="6.33203125" style="1" customWidth="1"/>
    <col min="11541" max="11548" width="3.6640625" style="1" customWidth="1"/>
    <col min="11549" max="11549" width="4" style="1" customWidth="1"/>
    <col min="11550" max="11550" width="5.88671875" style="1" customWidth="1"/>
    <col min="11551" max="11551" width="4.5546875" style="1" customWidth="1"/>
    <col min="11552" max="11553" width="4.44140625" style="1" customWidth="1"/>
    <col min="11554" max="11554" width="6.109375" style="1" customWidth="1"/>
    <col min="11555" max="11555" width="7" style="1" customWidth="1"/>
    <col min="11556" max="11558" width="3.6640625" style="1" customWidth="1"/>
    <col min="11559" max="11720" width="8.88671875" style="1"/>
    <col min="11721" max="11721" width="11.5546875" style="1" customWidth="1"/>
    <col min="11722" max="11722" width="8.88671875" style="1"/>
    <col min="11723" max="11723" width="18.6640625" style="1" customWidth="1"/>
    <col min="11724" max="11732" width="3.6640625" style="1" customWidth="1"/>
    <col min="11733" max="11733" width="6" style="1" customWidth="1"/>
    <col min="11734" max="11741" width="3.6640625" style="1" customWidth="1"/>
    <col min="11742" max="11742" width="6.5546875" style="1" customWidth="1"/>
    <col min="11743" max="11750" width="3.6640625" style="1" customWidth="1"/>
    <col min="11751" max="11751" width="6" style="1" customWidth="1"/>
    <col min="11752" max="11757" width="3.6640625" style="1" customWidth="1"/>
    <col min="11758" max="11758" width="4" style="1" customWidth="1"/>
    <col min="11759" max="11759" width="3.6640625" style="1" customWidth="1"/>
    <col min="11760" max="11760" width="6" style="1" customWidth="1"/>
    <col min="11761" max="11761" width="0.33203125" style="1" customWidth="1"/>
    <col min="11762" max="11768" width="3.6640625" style="1" customWidth="1"/>
    <col min="11769" max="11769" width="6.109375" style="1" customWidth="1"/>
    <col min="11770" max="11777" width="3.6640625" style="1" customWidth="1"/>
    <col min="11778" max="11778" width="6.33203125" style="1" customWidth="1"/>
    <col min="11779" max="11786" width="3.6640625" style="1" customWidth="1"/>
    <col min="11787" max="11787" width="5.6640625" style="1" customWidth="1"/>
    <col min="11788" max="11795" width="3.6640625" style="1" customWidth="1"/>
    <col min="11796" max="11796" width="6.33203125" style="1" customWidth="1"/>
    <col min="11797" max="11804" width="3.6640625" style="1" customWidth="1"/>
    <col min="11805" max="11805" width="4" style="1" customWidth="1"/>
    <col min="11806" max="11806" width="5.88671875" style="1" customWidth="1"/>
    <col min="11807" max="11807" width="4.5546875" style="1" customWidth="1"/>
    <col min="11808" max="11809" width="4.44140625" style="1" customWidth="1"/>
    <col min="11810" max="11810" width="6.109375" style="1" customWidth="1"/>
    <col min="11811" max="11811" width="7" style="1" customWidth="1"/>
    <col min="11812" max="11814" width="3.6640625" style="1" customWidth="1"/>
    <col min="11815" max="11976" width="8.88671875" style="1"/>
    <col min="11977" max="11977" width="11.5546875" style="1" customWidth="1"/>
    <col min="11978" max="11978" width="8.88671875" style="1"/>
    <col min="11979" max="11979" width="18.6640625" style="1" customWidth="1"/>
    <col min="11980" max="11988" width="3.6640625" style="1" customWidth="1"/>
    <col min="11989" max="11989" width="6" style="1" customWidth="1"/>
    <col min="11990" max="11997" width="3.6640625" style="1" customWidth="1"/>
    <col min="11998" max="11998" width="6.5546875" style="1" customWidth="1"/>
    <col min="11999" max="12006" width="3.6640625" style="1" customWidth="1"/>
    <col min="12007" max="12007" width="6" style="1" customWidth="1"/>
    <col min="12008" max="12013" width="3.6640625" style="1" customWidth="1"/>
    <col min="12014" max="12014" width="4" style="1" customWidth="1"/>
    <col min="12015" max="12015" width="3.6640625" style="1" customWidth="1"/>
    <col min="12016" max="12016" width="6" style="1" customWidth="1"/>
    <col min="12017" max="12017" width="0.33203125" style="1" customWidth="1"/>
    <col min="12018" max="12024" width="3.6640625" style="1" customWidth="1"/>
    <col min="12025" max="12025" width="6.109375" style="1" customWidth="1"/>
    <col min="12026" max="12033" width="3.6640625" style="1" customWidth="1"/>
    <col min="12034" max="12034" width="6.33203125" style="1" customWidth="1"/>
    <col min="12035" max="12042" width="3.6640625" style="1" customWidth="1"/>
    <col min="12043" max="12043" width="5.6640625" style="1" customWidth="1"/>
    <col min="12044" max="12051" width="3.6640625" style="1" customWidth="1"/>
    <col min="12052" max="12052" width="6.33203125" style="1" customWidth="1"/>
    <col min="12053" max="12060" width="3.6640625" style="1" customWidth="1"/>
    <col min="12061" max="12061" width="4" style="1" customWidth="1"/>
    <col min="12062" max="12062" width="5.88671875" style="1" customWidth="1"/>
    <col min="12063" max="12063" width="4.5546875" style="1" customWidth="1"/>
    <col min="12064" max="12065" width="4.44140625" style="1" customWidth="1"/>
    <col min="12066" max="12066" width="6.109375" style="1" customWidth="1"/>
    <col min="12067" max="12067" width="7" style="1" customWidth="1"/>
    <col min="12068" max="12070" width="3.6640625" style="1" customWidth="1"/>
    <col min="12071" max="12232" width="8.88671875" style="1"/>
    <col min="12233" max="12233" width="11.5546875" style="1" customWidth="1"/>
    <col min="12234" max="12234" width="8.88671875" style="1"/>
    <col min="12235" max="12235" width="18.6640625" style="1" customWidth="1"/>
    <col min="12236" max="12244" width="3.6640625" style="1" customWidth="1"/>
    <col min="12245" max="12245" width="6" style="1" customWidth="1"/>
    <col min="12246" max="12253" width="3.6640625" style="1" customWidth="1"/>
    <col min="12254" max="12254" width="6.5546875" style="1" customWidth="1"/>
    <col min="12255" max="12262" width="3.6640625" style="1" customWidth="1"/>
    <col min="12263" max="12263" width="6" style="1" customWidth="1"/>
    <col min="12264" max="12269" width="3.6640625" style="1" customWidth="1"/>
    <col min="12270" max="12270" width="4" style="1" customWidth="1"/>
    <col min="12271" max="12271" width="3.6640625" style="1" customWidth="1"/>
    <col min="12272" max="12272" width="6" style="1" customWidth="1"/>
    <col min="12273" max="12273" width="0.33203125" style="1" customWidth="1"/>
    <col min="12274" max="12280" width="3.6640625" style="1" customWidth="1"/>
    <col min="12281" max="12281" width="6.109375" style="1" customWidth="1"/>
    <col min="12282" max="12289" width="3.6640625" style="1" customWidth="1"/>
    <col min="12290" max="12290" width="6.33203125" style="1" customWidth="1"/>
    <col min="12291" max="12298" width="3.6640625" style="1" customWidth="1"/>
    <col min="12299" max="12299" width="5.6640625" style="1" customWidth="1"/>
    <col min="12300" max="12307" width="3.6640625" style="1" customWidth="1"/>
    <col min="12308" max="12308" width="6.33203125" style="1" customWidth="1"/>
    <col min="12309" max="12316" width="3.6640625" style="1" customWidth="1"/>
    <col min="12317" max="12317" width="4" style="1" customWidth="1"/>
    <col min="12318" max="12318" width="5.88671875" style="1" customWidth="1"/>
    <col min="12319" max="12319" width="4.5546875" style="1" customWidth="1"/>
    <col min="12320" max="12321" width="4.44140625" style="1" customWidth="1"/>
    <col min="12322" max="12322" width="6.109375" style="1" customWidth="1"/>
    <col min="12323" max="12323" width="7" style="1" customWidth="1"/>
    <col min="12324" max="12326" width="3.6640625" style="1" customWidth="1"/>
    <col min="12327" max="12488" width="8.88671875" style="1"/>
    <col min="12489" max="12489" width="11.5546875" style="1" customWidth="1"/>
    <col min="12490" max="12490" width="8.88671875" style="1"/>
    <col min="12491" max="12491" width="18.6640625" style="1" customWidth="1"/>
    <col min="12492" max="12500" width="3.6640625" style="1" customWidth="1"/>
    <col min="12501" max="12501" width="6" style="1" customWidth="1"/>
    <col min="12502" max="12509" width="3.6640625" style="1" customWidth="1"/>
    <col min="12510" max="12510" width="6.5546875" style="1" customWidth="1"/>
    <col min="12511" max="12518" width="3.6640625" style="1" customWidth="1"/>
    <col min="12519" max="12519" width="6" style="1" customWidth="1"/>
    <col min="12520" max="12525" width="3.6640625" style="1" customWidth="1"/>
    <col min="12526" max="12526" width="4" style="1" customWidth="1"/>
    <col min="12527" max="12527" width="3.6640625" style="1" customWidth="1"/>
    <col min="12528" max="12528" width="6" style="1" customWidth="1"/>
    <col min="12529" max="12529" width="0.33203125" style="1" customWidth="1"/>
    <col min="12530" max="12536" width="3.6640625" style="1" customWidth="1"/>
    <col min="12537" max="12537" width="6.109375" style="1" customWidth="1"/>
    <col min="12538" max="12545" width="3.6640625" style="1" customWidth="1"/>
    <col min="12546" max="12546" width="6.33203125" style="1" customWidth="1"/>
    <col min="12547" max="12554" width="3.6640625" style="1" customWidth="1"/>
    <col min="12555" max="12555" width="5.6640625" style="1" customWidth="1"/>
    <col min="12556" max="12563" width="3.6640625" style="1" customWidth="1"/>
    <col min="12564" max="12564" width="6.33203125" style="1" customWidth="1"/>
    <col min="12565" max="12572" width="3.6640625" style="1" customWidth="1"/>
    <col min="12573" max="12573" width="4" style="1" customWidth="1"/>
    <col min="12574" max="12574" width="5.88671875" style="1" customWidth="1"/>
    <col min="12575" max="12575" width="4.5546875" style="1" customWidth="1"/>
    <col min="12576" max="12577" width="4.44140625" style="1" customWidth="1"/>
    <col min="12578" max="12578" width="6.109375" style="1" customWidth="1"/>
    <col min="12579" max="12579" width="7" style="1" customWidth="1"/>
    <col min="12580" max="12582" width="3.6640625" style="1" customWidth="1"/>
    <col min="12583" max="12744" width="8.88671875" style="1"/>
    <col min="12745" max="12745" width="11.5546875" style="1" customWidth="1"/>
    <col min="12746" max="12746" width="8.88671875" style="1"/>
    <col min="12747" max="12747" width="18.6640625" style="1" customWidth="1"/>
    <col min="12748" max="12756" width="3.6640625" style="1" customWidth="1"/>
    <col min="12757" max="12757" width="6" style="1" customWidth="1"/>
    <col min="12758" max="12765" width="3.6640625" style="1" customWidth="1"/>
    <col min="12766" max="12766" width="6.5546875" style="1" customWidth="1"/>
    <col min="12767" max="12774" width="3.6640625" style="1" customWidth="1"/>
    <col min="12775" max="12775" width="6" style="1" customWidth="1"/>
    <col min="12776" max="12781" width="3.6640625" style="1" customWidth="1"/>
    <col min="12782" max="12782" width="4" style="1" customWidth="1"/>
    <col min="12783" max="12783" width="3.6640625" style="1" customWidth="1"/>
    <col min="12784" max="12784" width="6" style="1" customWidth="1"/>
    <col min="12785" max="12785" width="0.33203125" style="1" customWidth="1"/>
    <col min="12786" max="12792" width="3.6640625" style="1" customWidth="1"/>
    <col min="12793" max="12793" width="6.109375" style="1" customWidth="1"/>
    <col min="12794" max="12801" width="3.6640625" style="1" customWidth="1"/>
    <col min="12802" max="12802" width="6.33203125" style="1" customWidth="1"/>
    <col min="12803" max="12810" width="3.6640625" style="1" customWidth="1"/>
    <col min="12811" max="12811" width="5.6640625" style="1" customWidth="1"/>
    <col min="12812" max="12819" width="3.6640625" style="1" customWidth="1"/>
    <col min="12820" max="12820" width="6.33203125" style="1" customWidth="1"/>
    <col min="12821" max="12828" width="3.6640625" style="1" customWidth="1"/>
    <col min="12829" max="12829" width="4" style="1" customWidth="1"/>
    <col min="12830" max="12830" width="5.88671875" style="1" customWidth="1"/>
    <col min="12831" max="12831" width="4.5546875" style="1" customWidth="1"/>
    <col min="12832" max="12833" width="4.44140625" style="1" customWidth="1"/>
    <col min="12834" max="12834" width="6.109375" style="1" customWidth="1"/>
    <col min="12835" max="12835" width="7" style="1" customWidth="1"/>
    <col min="12836" max="12838" width="3.6640625" style="1" customWidth="1"/>
    <col min="12839" max="13000" width="8.88671875" style="1"/>
    <col min="13001" max="13001" width="11.5546875" style="1" customWidth="1"/>
    <col min="13002" max="13002" width="8.88671875" style="1"/>
    <col min="13003" max="13003" width="18.6640625" style="1" customWidth="1"/>
    <col min="13004" max="13012" width="3.6640625" style="1" customWidth="1"/>
    <col min="13013" max="13013" width="6" style="1" customWidth="1"/>
    <col min="13014" max="13021" width="3.6640625" style="1" customWidth="1"/>
    <col min="13022" max="13022" width="6.5546875" style="1" customWidth="1"/>
    <col min="13023" max="13030" width="3.6640625" style="1" customWidth="1"/>
    <col min="13031" max="13031" width="6" style="1" customWidth="1"/>
    <col min="13032" max="13037" width="3.6640625" style="1" customWidth="1"/>
    <col min="13038" max="13038" width="4" style="1" customWidth="1"/>
    <col min="13039" max="13039" width="3.6640625" style="1" customWidth="1"/>
    <col min="13040" max="13040" width="6" style="1" customWidth="1"/>
    <col min="13041" max="13041" width="0.33203125" style="1" customWidth="1"/>
    <col min="13042" max="13048" width="3.6640625" style="1" customWidth="1"/>
    <col min="13049" max="13049" width="6.109375" style="1" customWidth="1"/>
    <col min="13050" max="13057" width="3.6640625" style="1" customWidth="1"/>
    <col min="13058" max="13058" width="6.33203125" style="1" customWidth="1"/>
    <col min="13059" max="13066" width="3.6640625" style="1" customWidth="1"/>
    <col min="13067" max="13067" width="5.6640625" style="1" customWidth="1"/>
    <col min="13068" max="13075" width="3.6640625" style="1" customWidth="1"/>
    <col min="13076" max="13076" width="6.33203125" style="1" customWidth="1"/>
    <col min="13077" max="13084" width="3.6640625" style="1" customWidth="1"/>
    <col min="13085" max="13085" width="4" style="1" customWidth="1"/>
    <col min="13086" max="13086" width="5.88671875" style="1" customWidth="1"/>
    <col min="13087" max="13087" width="4.5546875" style="1" customWidth="1"/>
    <col min="13088" max="13089" width="4.44140625" style="1" customWidth="1"/>
    <col min="13090" max="13090" width="6.109375" style="1" customWidth="1"/>
    <col min="13091" max="13091" width="7" style="1" customWidth="1"/>
    <col min="13092" max="13094" width="3.6640625" style="1" customWidth="1"/>
    <col min="13095" max="13256" width="8.88671875" style="1"/>
    <col min="13257" max="13257" width="11.5546875" style="1" customWidth="1"/>
    <col min="13258" max="13258" width="8.88671875" style="1"/>
    <col min="13259" max="13259" width="18.6640625" style="1" customWidth="1"/>
    <col min="13260" max="13268" width="3.6640625" style="1" customWidth="1"/>
    <col min="13269" max="13269" width="6" style="1" customWidth="1"/>
    <col min="13270" max="13277" width="3.6640625" style="1" customWidth="1"/>
    <col min="13278" max="13278" width="6.5546875" style="1" customWidth="1"/>
    <col min="13279" max="13286" width="3.6640625" style="1" customWidth="1"/>
    <col min="13287" max="13287" width="6" style="1" customWidth="1"/>
    <col min="13288" max="13293" width="3.6640625" style="1" customWidth="1"/>
    <col min="13294" max="13294" width="4" style="1" customWidth="1"/>
    <col min="13295" max="13295" width="3.6640625" style="1" customWidth="1"/>
    <col min="13296" max="13296" width="6" style="1" customWidth="1"/>
    <col min="13297" max="13297" width="0.33203125" style="1" customWidth="1"/>
    <col min="13298" max="13304" width="3.6640625" style="1" customWidth="1"/>
    <col min="13305" max="13305" width="6.109375" style="1" customWidth="1"/>
    <col min="13306" max="13313" width="3.6640625" style="1" customWidth="1"/>
    <col min="13314" max="13314" width="6.33203125" style="1" customWidth="1"/>
    <col min="13315" max="13322" width="3.6640625" style="1" customWidth="1"/>
    <col min="13323" max="13323" width="5.6640625" style="1" customWidth="1"/>
    <col min="13324" max="13331" width="3.6640625" style="1" customWidth="1"/>
    <col min="13332" max="13332" width="6.33203125" style="1" customWidth="1"/>
    <col min="13333" max="13340" width="3.6640625" style="1" customWidth="1"/>
    <col min="13341" max="13341" width="4" style="1" customWidth="1"/>
    <col min="13342" max="13342" width="5.88671875" style="1" customWidth="1"/>
    <col min="13343" max="13343" width="4.5546875" style="1" customWidth="1"/>
    <col min="13344" max="13345" width="4.44140625" style="1" customWidth="1"/>
    <col min="13346" max="13346" width="6.109375" style="1" customWidth="1"/>
    <col min="13347" max="13347" width="7" style="1" customWidth="1"/>
    <col min="13348" max="13350" width="3.6640625" style="1" customWidth="1"/>
    <col min="13351" max="13512" width="8.88671875" style="1"/>
    <col min="13513" max="13513" width="11.5546875" style="1" customWidth="1"/>
    <col min="13514" max="13514" width="8.88671875" style="1"/>
    <col min="13515" max="13515" width="18.6640625" style="1" customWidth="1"/>
    <col min="13516" max="13524" width="3.6640625" style="1" customWidth="1"/>
    <col min="13525" max="13525" width="6" style="1" customWidth="1"/>
    <col min="13526" max="13533" width="3.6640625" style="1" customWidth="1"/>
    <col min="13534" max="13534" width="6.5546875" style="1" customWidth="1"/>
    <col min="13535" max="13542" width="3.6640625" style="1" customWidth="1"/>
    <col min="13543" max="13543" width="6" style="1" customWidth="1"/>
    <col min="13544" max="13549" width="3.6640625" style="1" customWidth="1"/>
    <col min="13550" max="13550" width="4" style="1" customWidth="1"/>
    <col min="13551" max="13551" width="3.6640625" style="1" customWidth="1"/>
    <col min="13552" max="13552" width="6" style="1" customWidth="1"/>
    <col min="13553" max="13553" width="0.33203125" style="1" customWidth="1"/>
    <col min="13554" max="13560" width="3.6640625" style="1" customWidth="1"/>
    <col min="13561" max="13561" width="6.109375" style="1" customWidth="1"/>
    <col min="13562" max="13569" width="3.6640625" style="1" customWidth="1"/>
    <col min="13570" max="13570" width="6.33203125" style="1" customWidth="1"/>
    <col min="13571" max="13578" width="3.6640625" style="1" customWidth="1"/>
    <col min="13579" max="13579" width="5.6640625" style="1" customWidth="1"/>
    <col min="13580" max="13587" width="3.6640625" style="1" customWidth="1"/>
    <col min="13588" max="13588" width="6.33203125" style="1" customWidth="1"/>
    <col min="13589" max="13596" width="3.6640625" style="1" customWidth="1"/>
    <col min="13597" max="13597" width="4" style="1" customWidth="1"/>
    <col min="13598" max="13598" width="5.88671875" style="1" customWidth="1"/>
    <col min="13599" max="13599" width="4.5546875" style="1" customWidth="1"/>
    <col min="13600" max="13601" width="4.44140625" style="1" customWidth="1"/>
    <col min="13602" max="13602" width="6.109375" style="1" customWidth="1"/>
    <col min="13603" max="13603" width="7" style="1" customWidth="1"/>
    <col min="13604" max="13606" width="3.6640625" style="1" customWidth="1"/>
    <col min="13607" max="13768" width="8.88671875" style="1"/>
    <col min="13769" max="13769" width="11.5546875" style="1" customWidth="1"/>
    <col min="13770" max="13770" width="8.88671875" style="1"/>
    <col min="13771" max="13771" width="18.6640625" style="1" customWidth="1"/>
    <col min="13772" max="13780" width="3.6640625" style="1" customWidth="1"/>
    <col min="13781" max="13781" width="6" style="1" customWidth="1"/>
    <col min="13782" max="13789" width="3.6640625" style="1" customWidth="1"/>
    <col min="13790" max="13790" width="6.5546875" style="1" customWidth="1"/>
    <col min="13791" max="13798" width="3.6640625" style="1" customWidth="1"/>
    <col min="13799" max="13799" width="6" style="1" customWidth="1"/>
    <col min="13800" max="13805" width="3.6640625" style="1" customWidth="1"/>
    <col min="13806" max="13806" width="4" style="1" customWidth="1"/>
    <col min="13807" max="13807" width="3.6640625" style="1" customWidth="1"/>
    <col min="13808" max="13808" width="6" style="1" customWidth="1"/>
    <col min="13809" max="13809" width="0.33203125" style="1" customWidth="1"/>
    <col min="13810" max="13816" width="3.6640625" style="1" customWidth="1"/>
    <col min="13817" max="13817" width="6.109375" style="1" customWidth="1"/>
    <col min="13818" max="13825" width="3.6640625" style="1" customWidth="1"/>
    <col min="13826" max="13826" width="6.33203125" style="1" customWidth="1"/>
    <col min="13827" max="13834" width="3.6640625" style="1" customWidth="1"/>
    <col min="13835" max="13835" width="5.6640625" style="1" customWidth="1"/>
    <col min="13836" max="13843" width="3.6640625" style="1" customWidth="1"/>
    <col min="13844" max="13844" width="6.33203125" style="1" customWidth="1"/>
    <col min="13845" max="13852" width="3.6640625" style="1" customWidth="1"/>
    <col min="13853" max="13853" width="4" style="1" customWidth="1"/>
    <col min="13854" max="13854" width="5.88671875" style="1" customWidth="1"/>
    <col min="13855" max="13855" width="4.5546875" style="1" customWidth="1"/>
    <col min="13856" max="13857" width="4.44140625" style="1" customWidth="1"/>
    <col min="13858" max="13858" width="6.109375" style="1" customWidth="1"/>
    <col min="13859" max="13859" width="7" style="1" customWidth="1"/>
    <col min="13860" max="13862" width="3.6640625" style="1" customWidth="1"/>
    <col min="13863" max="14024" width="8.88671875" style="1"/>
    <col min="14025" max="14025" width="11.5546875" style="1" customWidth="1"/>
    <col min="14026" max="14026" width="8.88671875" style="1"/>
    <col min="14027" max="14027" width="18.6640625" style="1" customWidth="1"/>
    <col min="14028" max="14036" width="3.6640625" style="1" customWidth="1"/>
    <col min="14037" max="14037" width="6" style="1" customWidth="1"/>
    <col min="14038" max="14045" width="3.6640625" style="1" customWidth="1"/>
    <col min="14046" max="14046" width="6.5546875" style="1" customWidth="1"/>
    <col min="14047" max="14054" width="3.6640625" style="1" customWidth="1"/>
    <col min="14055" max="14055" width="6" style="1" customWidth="1"/>
    <col min="14056" max="14061" width="3.6640625" style="1" customWidth="1"/>
    <col min="14062" max="14062" width="4" style="1" customWidth="1"/>
    <col min="14063" max="14063" width="3.6640625" style="1" customWidth="1"/>
    <col min="14064" max="14064" width="6" style="1" customWidth="1"/>
    <col min="14065" max="14065" width="0.33203125" style="1" customWidth="1"/>
    <col min="14066" max="14072" width="3.6640625" style="1" customWidth="1"/>
    <col min="14073" max="14073" width="6.109375" style="1" customWidth="1"/>
    <col min="14074" max="14081" width="3.6640625" style="1" customWidth="1"/>
    <col min="14082" max="14082" width="6.33203125" style="1" customWidth="1"/>
    <col min="14083" max="14090" width="3.6640625" style="1" customWidth="1"/>
    <col min="14091" max="14091" width="5.6640625" style="1" customWidth="1"/>
    <col min="14092" max="14099" width="3.6640625" style="1" customWidth="1"/>
    <col min="14100" max="14100" width="6.33203125" style="1" customWidth="1"/>
    <col min="14101" max="14108" width="3.6640625" style="1" customWidth="1"/>
    <col min="14109" max="14109" width="4" style="1" customWidth="1"/>
    <col min="14110" max="14110" width="5.88671875" style="1" customWidth="1"/>
    <col min="14111" max="14111" width="4.5546875" style="1" customWidth="1"/>
    <col min="14112" max="14113" width="4.44140625" style="1" customWidth="1"/>
    <col min="14114" max="14114" width="6.109375" style="1" customWidth="1"/>
    <col min="14115" max="14115" width="7" style="1" customWidth="1"/>
    <col min="14116" max="14118" width="3.6640625" style="1" customWidth="1"/>
    <col min="14119" max="14280" width="8.88671875" style="1"/>
    <col min="14281" max="14281" width="11.5546875" style="1" customWidth="1"/>
    <col min="14282" max="14282" width="8.88671875" style="1"/>
    <col min="14283" max="14283" width="18.6640625" style="1" customWidth="1"/>
    <col min="14284" max="14292" width="3.6640625" style="1" customWidth="1"/>
    <col min="14293" max="14293" width="6" style="1" customWidth="1"/>
    <col min="14294" max="14301" width="3.6640625" style="1" customWidth="1"/>
    <col min="14302" max="14302" width="6.5546875" style="1" customWidth="1"/>
    <col min="14303" max="14310" width="3.6640625" style="1" customWidth="1"/>
    <col min="14311" max="14311" width="6" style="1" customWidth="1"/>
    <col min="14312" max="14317" width="3.6640625" style="1" customWidth="1"/>
    <col min="14318" max="14318" width="4" style="1" customWidth="1"/>
    <col min="14319" max="14319" width="3.6640625" style="1" customWidth="1"/>
    <col min="14320" max="14320" width="6" style="1" customWidth="1"/>
    <col min="14321" max="14321" width="0.33203125" style="1" customWidth="1"/>
    <col min="14322" max="14328" width="3.6640625" style="1" customWidth="1"/>
    <col min="14329" max="14329" width="6.109375" style="1" customWidth="1"/>
    <col min="14330" max="14337" width="3.6640625" style="1" customWidth="1"/>
    <col min="14338" max="14338" width="6.33203125" style="1" customWidth="1"/>
    <col min="14339" max="14346" width="3.6640625" style="1" customWidth="1"/>
    <col min="14347" max="14347" width="5.6640625" style="1" customWidth="1"/>
    <col min="14348" max="14355" width="3.6640625" style="1" customWidth="1"/>
    <col min="14356" max="14356" width="6.33203125" style="1" customWidth="1"/>
    <col min="14357" max="14364" width="3.6640625" style="1" customWidth="1"/>
    <col min="14365" max="14365" width="4" style="1" customWidth="1"/>
    <col min="14366" max="14366" width="5.88671875" style="1" customWidth="1"/>
    <col min="14367" max="14367" width="4.5546875" style="1" customWidth="1"/>
    <col min="14368" max="14369" width="4.44140625" style="1" customWidth="1"/>
    <col min="14370" max="14370" width="6.109375" style="1" customWidth="1"/>
    <col min="14371" max="14371" width="7" style="1" customWidth="1"/>
    <col min="14372" max="14374" width="3.6640625" style="1" customWidth="1"/>
    <col min="14375" max="14536" width="8.88671875" style="1"/>
    <col min="14537" max="14537" width="11.5546875" style="1" customWidth="1"/>
    <col min="14538" max="14538" width="8.88671875" style="1"/>
    <col min="14539" max="14539" width="18.6640625" style="1" customWidth="1"/>
    <col min="14540" max="14548" width="3.6640625" style="1" customWidth="1"/>
    <col min="14549" max="14549" width="6" style="1" customWidth="1"/>
    <col min="14550" max="14557" width="3.6640625" style="1" customWidth="1"/>
    <col min="14558" max="14558" width="6.5546875" style="1" customWidth="1"/>
    <col min="14559" max="14566" width="3.6640625" style="1" customWidth="1"/>
    <col min="14567" max="14567" width="6" style="1" customWidth="1"/>
    <col min="14568" max="14573" width="3.6640625" style="1" customWidth="1"/>
    <col min="14574" max="14574" width="4" style="1" customWidth="1"/>
    <col min="14575" max="14575" width="3.6640625" style="1" customWidth="1"/>
    <col min="14576" max="14576" width="6" style="1" customWidth="1"/>
    <col min="14577" max="14577" width="0.33203125" style="1" customWidth="1"/>
    <col min="14578" max="14584" width="3.6640625" style="1" customWidth="1"/>
    <col min="14585" max="14585" width="6.109375" style="1" customWidth="1"/>
    <col min="14586" max="14593" width="3.6640625" style="1" customWidth="1"/>
    <col min="14594" max="14594" width="6.33203125" style="1" customWidth="1"/>
    <col min="14595" max="14602" width="3.6640625" style="1" customWidth="1"/>
    <col min="14603" max="14603" width="5.6640625" style="1" customWidth="1"/>
    <col min="14604" max="14611" width="3.6640625" style="1" customWidth="1"/>
    <col min="14612" max="14612" width="6.33203125" style="1" customWidth="1"/>
    <col min="14613" max="14620" width="3.6640625" style="1" customWidth="1"/>
    <col min="14621" max="14621" width="4" style="1" customWidth="1"/>
    <col min="14622" max="14622" width="5.88671875" style="1" customWidth="1"/>
    <col min="14623" max="14623" width="4.5546875" style="1" customWidth="1"/>
    <col min="14624" max="14625" width="4.44140625" style="1" customWidth="1"/>
    <col min="14626" max="14626" width="6.109375" style="1" customWidth="1"/>
    <col min="14627" max="14627" width="7" style="1" customWidth="1"/>
    <col min="14628" max="14630" width="3.6640625" style="1" customWidth="1"/>
    <col min="14631" max="14792" width="8.88671875" style="1"/>
    <col min="14793" max="14793" width="11.5546875" style="1" customWidth="1"/>
    <col min="14794" max="14794" width="8.88671875" style="1"/>
    <col min="14795" max="14795" width="18.6640625" style="1" customWidth="1"/>
    <col min="14796" max="14804" width="3.6640625" style="1" customWidth="1"/>
    <col min="14805" max="14805" width="6" style="1" customWidth="1"/>
    <col min="14806" max="14813" width="3.6640625" style="1" customWidth="1"/>
    <col min="14814" max="14814" width="6.5546875" style="1" customWidth="1"/>
    <col min="14815" max="14822" width="3.6640625" style="1" customWidth="1"/>
    <col min="14823" max="14823" width="6" style="1" customWidth="1"/>
    <col min="14824" max="14829" width="3.6640625" style="1" customWidth="1"/>
    <col min="14830" max="14830" width="4" style="1" customWidth="1"/>
    <col min="14831" max="14831" width="3.6640625" style="1" customWidth="1"/>
    <col min="14832" max="14832" width="6" style="1" customWidth="1"/>
    <col min="14833" max="14833" width="0.33203125" style="1" customWidth="1"/>
    <col min="14834" max="14840" width="3.6640625" style="1" customWidth="1"/>
    <col min="14841" max="14841" width="6.109375" style="1" customWidth="1"/>
    <col min="14842" max="14849" width="3.6640625" style="1" customWidth="1"/>
    <col min="14850" max="14850" width="6.33203125" style="1" customWidth="1"/>
    <col min="14851" max="14858" width="3.6640625" style="1" customWidth="1"/>
    <col min="14859" max="14859" width="5.6640625" style="1" customWidth="1"/>
    <col min="14860" max="14867" width="3.6640625" style="1" customWidth="1"/>
    <col min="14868" max="14868" width="6.33203125" style="1" customWidth="1"/>
    <col min="14869" max="14876" width="3.6640625" style="1" customWidth="1"/>
    <col min="14877" max="14877" width="4" style="1" customWidth="1"/>
    <col min="14878" max="14878" width="5.88671875" style="1" customWidth="1"/>
    <col min="14879" max="14879" width="4.5546875" style="1" customWidth="1"/>
    <col min="14880" max="14881" width="4.44140625" style="1" customWidth="1"/>
    <col min="14882" max="14882" width="6.109375" style="1" customWidth="1"/>
    <col min="14883" max="14883" width="7" style="1" customWidth="1"/>
    <col min="14884" max="14886" width="3.6640625" style="1" customWidth="1"/>
    <col min="14887" max="15048" width="8.88671875" style="1"/>
    <col min="15049" max="15049" width="11.5546875" style="1" customWidth="1"/>
    <col min="15050" max="15050" width="8.88671875" style="1"/>
    <col min="15051" max="15051" width="18.6640625" style="1" customWidth="1"/>
    <col min="15052" max="15060" width="3.6640625" style="1" customWidth="1"/>
    <col min="15061" max="15061" width="6" style="1" customWidth="1"/>
    <col min="15062" max="15069" width="3.6640625" style="1" customWidth="1"/>
    <col min="15070" max="15070" width="6.5546875" style="1" customWidth="1"/>
    <col min="15071" max="15078" width="3.6640625" style="1" customWidth="1"/>
    <col min="15079" max="15079" width="6" style="1" customWidth="1"/>
    <col min="15080" max="15085" width="3.6640625" style="1" customWidth="1"/>
    <col min="15086" max="15086" width="4" style="1" customWidth="1"/>
    <col min="15087" max="15087" width="3.6640625" style="1" customWidth="1"/>
    <col min="15088" max="15088" width="6" style="1" customWidth="1"/>
    <col min="15089" max="15089" width="0.33203125" style="1" customWidth="1"/>
    <col min="15090" max="15096" width="3.6640625" style="1" customWidth="1"/>
    <col min="15097" max="15097" width="6.109375" style="1" customWidth="1"/>
    <col min="15098" max="15105" width="3.6640625" style="1" customWidth="1"/>
    <col min="15106" max="15106" width="6.33203125" style="1" customWidth="1"/>
    <col min="15107" max="15114" width="3.6640625" style="1" customWidth="1"/>
    <col min="15115" max="15115" width="5.6640625" style="1" customWidth="1"/>
    <col min="15116" max="15123" width="3.6640625" style="1" customWidth="1"/>
    <col min="15124" max="15124" width="6.33203125" style="1" customWidth="1"/>
    <col min="15125" max="15132" width="3.6640625" style="1" customWidth="1"/>
    <col min="15133" max="15133" width="4" style="1" customWidth="1"/>
    <col min="15134" max="15134" width="5.88671875" style="1" customWidth="1"/>
    <col min="15135" max="15135" width="4.5546875" style="1" customWidth="1"/>
    <col min="15136" max="15137" width="4.44140625" style="1" customWidth="1"/>
    <col min="15138" max="15138" width="6.109375" style="1" customWidth="1"/>
    <col min="15139" max="15139" width="7" style="1" customWidth="1"/>
    <col min="15140" max="15142" width="3.6640625" style="1" customWidth="1"/>
    <col min="15143" max="15304" width="8.88671875" style="1"/>
    <col min="15305" max="15305" width="11.5546875" style="1" customWidth="1"/>
    <col min="15306" max="15306" width="8.88671875" style="1"/>
    <col min="15307" max="15307" width="18.6640625" style="1" customWidth="1"/>
    <col min="15308" max="15316" width="3.6640625" style="1" customWidth="1"/>
    <col min="15317" max="15317" width="6" style="1" customWidth="1"/>
    <col min="15318" max="15325" width="3.6640625" style="1" customWidth="1"/>
    <col min="15326" max="15326" width="6.5546875" style="1" customWidth="1"/>
    <col min="15327" max="15334" width="3.6640625" style="1" customWidth="1"/>
    <col min="15335" max="15335" width="6" style="1" customWidth="1"/>
    <col min="15336" max="15341" width="3.6640625" style="1" customWidth="1"/>
    <col min="15342" max="15342" width="4" style="1" customWidth="1"/>
    <col min="15343" max="15343" width="3.6640625" style="1" customWidth="1"/>
    <col min="15344" max="15344" width="6" style="1" customWidth="1"/>
    <col min="15345" max="15345" width="0.33203125" style="1" customWidth="1"/>
    <col min="15346" max="15352" width="3.6640625" style="1" customWidth="1"/>
    <col min="15353" max="15353" width="6.109375" style="1" customWidth="1"/>
    <col min="15354" max="15361" width="3.6640625" style="1" customWidth="1"/>
    <col min="15362" max="15362" width="6.33203125" style="1" customWidth="1"/>
    <col min="15363" max="15370" width="3.6640625" style="1" customWidth="1"/>
    <col min="15371" max="15371" width="5.6640625" style="1" customWidth="1"/>
    <col min="15372" max="15379" width="3.6640625" style="1" customWidth="1"/>
    <col min="15380" max="15380" width="6.33203125" style="1" customWidth="1"/>
    <col min="15381" max="15388" width="3.6640625" style="1" customWidth="1"/>
    <col min="15389" max="15389" width="4" style="1" customWidth="1"/>
    <col min="15390" max="15390" width="5.88671875" style="1" customWidth="1"/>
    <col min="15391" max="15391" width="4.5546875" style="1" customWidth="1"/>
    <col min="15392" max="15393" width="4.44140625" style="1" customWidth="1"/>
    <col min="15394" max="15394" width="6.109375" style="1" customWidth="1"/>
    <col min="15395" max="15395" width="7" style="1" customWidth="1"/>
    <col min="15396" max="15398" width="3.6640625" style="1" customWidth="1"/>
    <col min="15399" max="15560" width="8.88671875" style="1"/>
    <col min="15561" max="15561" width="11.5546875" style="1" customWidth="1"/>
    <col min="15562" max="15562" width="8.88671875" style="1"/>
    <col min="15563" max="15563" width="18.6640625" style="1" customWidth="1"/>
    <col min="15564" max="15572" width="3.6640625" style="1" customWidth="1"/>
    <col min="15573" max="15573" width="6" style="1" customWidth="1"/>
    <col min="15574" max="15581" width="3.6640625" style="1" customWidth="1"/>
    <col min="15582" max="15582" width="6.5546875" style="1" customWidth="1"/>
    <col min="15583" max="15590" width="3.6640625" style="1" customWidth="1"/>
    <col min="15591" max="15591" width="6" style="1" customWidth="1"/>
    <col min="15592" max="15597" width="3.6640625" style="1" customWidth="1"/>
    <col min="15598" max="15598" width="4" style="1" customWidth="1"/>
    <col min="15599" max="15599" width="3.6640625" style="1" customWidth="1"/>
    <col min="15600" max="15600" width="6" style="1" customWidth="1"/>
    <col min="15601" max="15601" width="0.33203125" style="1" customWidth="1"/>
    <col min="15602" max="15608" width="3.6640625" style="1" customWidth="1"/>
    <col min="15609" max="15609" width="6.109375" style="1" customWidth="1"/>
    <col min="15610" max="15617" width="3.6640625" style="1" customWidth="1"/>
    <col min="15618" max="15618" width="6.33203125" style="1" customWidth="1"/>
    <col min="15619" max="15626" width="3.6640625" style="1" customWidth="1"/>
    <col min="15627" max="15627" width="5.6640625" style="1" customWidth="1"/>
    <col min="15628" max="15635" width="3.6640625" style="1" customWidth="1"/>
    <col min="15636" max="15636" width="6.33203125" style="1" customWidth="1"/>
    <col min="15637" max="15644" width="3.6640625" style="1" customWidth="1"/>
    <col min="15645" max="15645" width="4" style="1" customWidth="1"/>
    <col min="15646" max="15646" width="5.88671875" style="1" customWidth="1"/>
    <col min="15647" max="15647" width="4.5546875" style="1" customWidth="1"/>
    <col min="15648" max="15649" width="4.44140625" style="1" customWidth="1"/>
    <col min="15650" max="15650" width="6.109375" style="1" customWidth="1"/>
    <col min="15651" max="15651" width="7" style="1" customWidth="1"/>
    <col min="15652" max="15654" width="3.6640625" style="1" customWidth="1"/>
    <col min="15655" max="15816" width="8.88671875" style="1"/>
    <col min="15817" max="15817" width="11.5546875" style="1" customWidth="1"/>
    <col min="15818" max="15818" width="8.88671875" style="1"/>
    <col min="15819" max="15819" width="18.6640625" style="1" customWidth="1"/>
    <col min="15820" max="15828" width="3.6640625" style="1" customWidth="1"/>
    <col min="15829" max="15829" width="6" style="1" customWidth="1"/>
    <col min="15830" max="15837" width="3.6640625" style="1" customWidth="1"/>
    <col min="15838" max="15838" width="6.5546875" style="1" customWidth="1"/>
    <col min="15839" max="15846" width="3.6640625" style="1" customWidth="1"/>
    <col min="15847" max="15847" width="6" style="1" customWidth="1"/>
    <col min="15848" max="15853" width="3.6640625" style="1" customWidth="1"/>
    <col min="15854" max="15854" width="4" style="1" customWidth="1"/>
    <col min="15855" max="15855" width="3.6640625" style="1" customWidth="1"/>
    <col min="15856" max="15856" width="6" style="1" customWidth="1"/>
    <col min="15857" max="15857" width="0.33203125" style="1" customWidth="1"/>
    <col min="15858" max="15864" width="3.6640625" style="1" customWidth="1"/>
    <col min="15865" max="15865" width="6.109375" style="1" customWidth="1"/>
    <col min="15866" max="15873" width="3.6640625" style="1" customWidth="1"/>
    <col min="15874" max="15874" width="6.33203125" style="1" customWidth="1"/>
    <col min="15875" max="15882" width="3.6640625" style="1" customWidth="1"/>
    <col min="15883" max="15883" width="5.6640625" style="1" customWidth="1"/>
    <col min="15884" max="15891" width="3.6640625" style="1" customWidth="1"/>
    <col min="15892" max="15892" width="6.33203125" style="1" customWidth="1"/>
    <col min="15893" max="15900" width="3.6640625" style="1" customWidth="1"/>
    <col min="15901" max="15901" width="4" style="1" customWidth="1"/>
    <col min="15902" max="15902" width="5.88671875" style="1" customWidth="1"/>
    <col min="15903" max="15903" width="4.5546875" style="1" customWidth="1"/>
    <col min="15904" max="15905" width="4.44140625" style="1" customWidth="1"/>
    <col min="15906" max="15906" width="6.109375" style="1" customWidth="1"/>
    <col min="15907" max="15907" width="7" style="1" customWidth="1"/>
    <col min="15908" max="15910" width="3.6640625" style="1" customWidth="1"/>
    <col min="15911" max="16072" width="8.88671875" style="1"/>
    <col min="16073" max="16073" width="11.5546875" style="1" customWidth="1"/>
    <col min="16074" max="16074" width="8.88671875" style="1"/>
    <col min="16075" max="16075" width="18.6640625" style="1" customWidth="1"/>
    <col min="16076" max="16084" width="3.6640625" style="1" customWidth="1"/>
    <col min="16085" max="16085" width="6" style="1" customWidth="1"/>
    <col min="16086" max="16093" width="3.6640625" style="1" customWidth="1"/>
    <col min="16094" max="16094" width="6.5546875" style="1" customWidth="1"/>
    <col min="16095" max="16102" width="3.6640625" style="1" customWidth="1"/>
    <col min="16103" max="16103" width="6" style="1" customWidth="1"/>
    <col min="16104" max="16109" width="3.6640625" style="1" customWidth="1"/>
    <col min="16110" max="16110" width="4" style="1" customWidth="1"/>
    <col min="16111" max="16111" width="3.6640625" style="1" customWidth="1"/>
    <col min="16112" max="16112" width="6" style="1" customWidth="1"/>
    <col min="16113" max="16113" width="0.33203125" style="1" customWidth="1"/>
    <col min="16114" max="16120" width="3.6640625" style="1" customWidth="1"/>
    <col min="16121" max="16121" width="6.109375" style="1" customWidth="1"/>
    <col min="16122" max="16129" width="3.6640625" style="1" customWidth="1"/>
    <col min="16130" max="16130" width="6.33203125" style="1" customWidth="1"/>
    <col min="16131" max="16138" width="3.6640625" style="1" customWidth="1"/>
    <col min="16139" max="16139" width="5.6640625" style="1" customWidth="1"/>
    <col min="16140" max="16147" width="3.6640625" style="1" customWidth="1"/>
    <col min="16148" max="16148" width="6.33203125" style="1" customWidth="1"/>
    <col min="16149" max="16156" width="3.6640625" style="1" customWidth="1"/>
    <col min="16157" max="16157" width="4" style="1" customWidth="1"/>
    <col min="16158" max="16158" width="5.88671875" style="1" customWidth="1"/>
    <col min="16159" max="16159" width="4.5546875" style="1" customWidth="1"/>
    <col min="16160" max="16161" width="4.44140625" style="1" customWidth="1"/>
    <col min="16162" max="16162" width="6.109375" style="1" customWidth="1"/>
    <col min="16163" max="16163" width="7" style="1" customWidth="1"/>
    <col min="16164" max="16166" width="3.6640625" style="1" customWidth="1"/>
    <col min="16167" max="16384" width="8.88671875" style="1"/>
  </cols>
  <sheetData>
    <row r="1" spans="1:38" ht="32.4">
      <c r="B1" s="91" t="s">
        <v>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</row>
    <row r="2" spans="1:38" ht="32.4">
      <c r="B2" s="91" t="s">
        <v>1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</row>
    <row r="3" spans="1:38" ht="44.25" customHeight="1">
      <c r="B3" s="91" t="s">
        <v>116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</row>
    <row r="4" spans="1:38" ht="33.75" customHeight="1"/>
    <row r="5" spans="1:38" ht="21" customHeight="1"/>
    <row r="7" spans="1:38" s="10" customFormat="1" ht="30.6">
      <c r="A7" s="15"/>
      <c r="B7" s="16"/>
      <c r="C7" s="16"/>
      <c r="D7" s="17"/>
      <c r="E7" s="92" t="s">
        <v>117</v>
      </c>
      <c r="F7" s="92"/>
      <c r="G7" s="92"/>
      <c r="H7" s="92"/>
      <c r="I7" s="92"/>
      <c r="J7" s="92"/>
      <c r="K7" s="92"/>
      <c r="L7" s="92"/>
      <c r="M7" s="92"/>
      <c r="N7" s="93" t="s">
        <v>118</v>
      </c>
      <c r="O7" s="94"/>
      <c r="P7" s="94"/>
      <c r="Q7" s="94"/>
      <c r="R7" s="94"/>
      <c r="S7" s="94"/>
      <c r="T7" s="94"/>
      <c r="U7" s="94"/>
      <c r="V7" s="94"/>
      <c r="W7" s="95"/>
      <c r="X7" s="93" t="s">
        <v>119</v>
      </c>
      <c r="Y7" s="94"/>
      <c r="Z7" s="94"/>
      <c r="AA7" s="94"/>
      <c r="AB7" s="94"/>
      <c r="AC7" s="94"/>
      <c r="AD7" s="94"/>
      <c r="AE7" s="94"/>
      <c r="AF7" s="95"/>
      <c r="AG7" s="31"/>
      <c r="AH7" s="96"/>
      <c r="AI7" s="97"/>
      <c r="AJ7" s="97"/>
      <c r="AK7" s="97"/>
      <c r="AL7" s="98"/>
    </row>
    <row r="8" spans="1:38" s="11" customFormat="1" ht="55.2" customHeight="1">
      <c r="A8" s="18" t="s">
        <v>2</v>
      </c>
      <c r="B8" s="19" t="s">
        <v>120</v>
      </c>
      <c r="C8" s="19" t="s">
        <v>121</v>
      </c>
      <c r="D8" s="18" t="s">
        <v>122</v>
      </c>
      <c r="E8" s="20" t="s">
        <v>123</v>
      </c>
      <c r="F8" s="20" t="s">
        <v>124</v>
      </c>
      <c r="G8" s="20" t="s">
        <v>125</v>
      </c>
      <c r="H8" s="20" t="s">
        <v>126</v>
      </c>
      <c r="I8" s="20" t="s">
        <v>127</v>
      </c>
      <c r="J8" s="20" t="s">
        <v>128</v>
      </c>
      <c r="K8" s="20" t="s">
        <v>129</v>
      </c>
      <c r="L8" s="20" t="s">
        <v>6</v>
      </c>
      <c r="M8" s="20" t="s">
        <v>130</v>
      </c>
      <c r="N8" s="20" t="s">
        <v>131</v>
      </c>
      <c r="O8" s="20" t="s">
        <v>132</v>
      </c>
      <c r="P8" s="20" t="s">
        <v>133</v>
      </c>
      <c r="Q8" s="20" t="s">
        <v>134</v>
      </c>
      <c r="R8" s="20" t="s">
        <v>135</v>
      </c>
      <c r="S8" s="20" t="s">
        <v>136</v>
      </c>
      <c r="T8" s="20" t="s">
        <v>137</v>
      </c>
      <c r="U8" s="20" t="s">
        <v>138</v>
      </c>
      <c r="V8" s="20" t="s">
        <v>6</v>
      </c>
      <c r="W8" s="20" t="s">
        <v>130</v>
      </c>
      <c r="X8" s="20" t="s">
        <v>139</v>
      </c>
      <c r="Y8" s="20" t="s">
        <v>109</v>
      </c>
      <c r="Z8" s="20" t="s">
        <v>110</v>
      </c>
      <c r="AA8" s="20" t="s">
        <v>111</v>
      </c>
      <c r="AB8" s="20" t="s">
        <v>112</v>
      </c>
      <c r="AC8" s="20" t="s">
        <v>113</v>
      </c>
      <c r="AD8" s="20" t="s">
        <v>114</v>
      </c>
      <c r="AE8" s="20" t="s">
        <v>115</v>
      </c>
      <c r="AF8" s="20" t="s">
        <v>6</v>
      </c>
      <c r="AG8" s="37" t="s">
        <v>130</v>
      </c>
      <c r="AH8" s="37" t="s">
        <v>140</v>
      </c>
      <c r="AI8" s="37" t="s">
        <v>141</v>
      </c>
      <c r="AJ8" s="20" t="s">
        <v>8</v>
      </c>
      <c r="AK8" s="37" t="s">
        <v>142</v>
      </c>
      <c r="AL8" s="20" t="s">
        <v>143</v>
      </c>
    </row>
    <row r="9" spans="1:38" s="11" customFormat="1" ht="49.95" customHeight="1">
      <c r="A9" s="21">
        <v>1</v>
      </c>
      <c r="B9" s="2">
        <v>222308561</v>
      </c>
      <c r="C9" s="22" t="s">
        <v>9</v>
      </c>
      <c r="D9" s="23" t="s">
        <v>10</v>
      </c>
      <c r="E9" s="24">
        <v>52</v>
      </c>
      <c r="F9" s="24">
        <v>49</v>
      </c>
      <c r="G9" s="24">
        <v>57</v>
      </c>
      <c r="H9" s="24">
        <v>30</v>
      </c>
      <c r="I9" s="24">
        <v>33</v>
      </c>
      <c r="J9" s="24">
        <v>54</v>
      </c>
      <c r="K9" s="32">
        <v>51</v>
      </c>
      <c r="L9" s="24">
        <f>SUM(E9:K9)</f>
        <v>326</v>
      </c>
      <c r="M9" s="33">
        <f>L9/7</f>
        <v>46.571428571428569</v>
      </c>
      <c r="N9" s="24">
        <v>53</v>
      </c>
      <c r="O9" s="24">
        <v>53</v>
      </c>
      <c r="P9" s="24">
        <v>60</v>
      </c>
      <c r="Q9" s="24">
        <v>34</v>
      </c>
      <c r="R9" s="24">
        <v>45</v>
      </c>
      <c r="S9" s="24">
        <v>62</v>
      </c>
      <c r="T9" s="24">
        <v>49</v>
      </c>
      <c r="U9" s="24">
        <v>89</v>
      </c>
      <c r="V9" s="24">
        <f>SUM(N9:U9)</f>
        <v>445</v>
      </c>
      <c r="W9" s="33">
        <f>V9/8</f>
        <v>55.625</v>
      </c>
      <c r="X9" s="24">
        <v>63</v>
      </c>
      <c r="Y9" s="24">
        <v>45</v>
      </c>
      <c r="Z9" s="33">
        <v>65</v>
      </c>
      <c r="AA9" s="33">
        <v>35</v>
      </c>
      <c r="AB9" s="33">
        <v>58</v>
      </c>
      <c r="AC9" s="33">
        <v>80</v>
      </c>
      <c r="AD9" s="33">
        <v>65</v>
      </c>
      <c r="AE9" s="33">
        <v>86</v>
      </c>
      <c r="AF9" s="24">
        <f>SUM(X9:AE9)</f>
        <v>497</v>
      </c>
      <c r="AG9" s="33">
        <f>AF9/8</f>
        <v>62.125</v>
      </c>
      <c r="AH9" s="24">
        <f>SUM(L9,V9,AF9)</f>
        <v>1268</v>
      </c>
      <c r="AI9" s="33">
        <f>SUM(M9,W9,AG9)/3</f>
        <v>54.773809523809518</v>
      </c>
      <c r="AJ9" s="38"/>
      <c r="AK9" s="24">
        <v>5</v>
      </c>
      <c r="AL9" s="39"/>
    </row>
    <row r="10" spans="1:38" s="11" customFormat="1" ht="49.95" customHeight="1">
      <c r="A10" s="19">
        <v>2</v>
      </c>
      <c r="B10" s="3">
        <v>222308563</v>
      </c>
      <c r="C10" s="4" t="s">
        <v>12</v>
      </c>
      <c r="D10" s="5" t="s">
        <v>13</v>
      </c>
      <c r="E10" s="24">
        <v>46</v>
      </c>
      <c r="F10" s="24">
        <v>64</v>
      </c>
      <c r="G10" s="24">
        <v>80</v>
      </c>
      <c r="H10" s="24">
        <v>23</v>
      </c>
      <c r="I10" s="24">
        <v>30</v>
      </c>
      <c r="J10" s="24">
        <v>49</v>
      </c>
      <c r="K10" s="24">
        <v>53</v>
      </c>
      <c r="L10" s="24">
        <f t="shared" ref="L10:L58" si="0">SUM(E10:K10)</f>
        <v>345</v>
      </c>
      <c r="M10" s="33">
        <f t="shared" ref="M10:M58" si="1">L10/7</f>
        <v>49.285714285714285</v>
      </c>
      <c r="N10" s="24">
        <v>45</v>
      </c>
      <c r="O10" s="24">
        <v>51</v>
      </c>
      <c r="P10" s="24">
        <v>65</v>
      </c>
      <c r="Q10" s="24">
        <v>44</v>
      </c>
      <c r="R10" s="24">
        <v>32</v>
      </c>
      <c r="S10" s="24">
        <v>60</v>
      </c>
      <c r="T10" s="24">
        <v>47</v>
      </c>
      <c r="U10" s="24">
        <v>83</v>
      </c>
      <c r="V10" s="24">
        <f t="shared" ref="V10:V58" si="2">SUM(N10:U10)</f>
        <v>427</v>
      </c>
      <c r="W10" s="33">
        <f t="shared" ref="W10:W58" si="3">V10/8</f>
        <v>53.375</v>
      </c>
      <c r="X10" s="24">
        <v>46</v>
      </c>
      <c r="Y10" s="24">
        <v>45</v>
      </c>
      <c r="Z10" s="33">
        <v>60</v>
      </c>
      <c r="AA10" s="33">
        <v>17</v>
      </c>
      <c r="AB10" s="33">
        <v>52</v>
      </c>
      <c r="AC10" s="33">
        <v>61</v>
      </c>
      <c r="AD10" s="33">
        <v>61</v>
      </c>
      <c r="AE10" s="33">
        <v>85</v>
      </c>
      <c r="AF10" s="24">
        <f t="shared" ref="AF10:AF58" si="4">SUM(X10:AE10)</f>
        <v>427</v>
      </c>
      <c r="AG10" s="33">
        <f t="shared" ref="AG10:AG58" si="5">AF10/8</f>
        <v>53.375</v>
      </c>
      <c r="AH10" s="24">
        <f t="shared" ref="AH10:AH58" si="6">SUM(L10,V10,AF10)</f>
        <v>1199</v>
      </c>
      <c r="AI10" s="33">
        <f t="shared" ref="AI10:AI58" si="7">SUM(M10,W10,AG10)/3</f>
        <v>52.011904761904759</v>
      </c>
      <c r="AJ10" s="38"/>
      <c r="AK10" s="24">
        <v>5</v>
      </c>
      <c r="AL10" s="39"/>
    </row>
    <row r="11" spans="1:38" s="11" customFormat="1" ht="49.95" customHeight="1">
      <c r="A11" s="19">
        <v>3</v>
      </c>
      <c r="B11" s="3">
        <v>222308568</v>
      </c>
      <c r="C11" s="4" t="s">
        <v>14</v>
      </c>
      <c r="D11" s="5" t="s">
        <v>15</v>
      </c>
      <c r="E11" s="24">
        <v>50</v>
      </c>
      <c r="F11" s="24">
        <v>60</v>
      </c>
      <c r="G11" s="24">
        <v>65</v>
      </c>
      <c r="H11" s="24">
        <v>41</v>
      </c>
      <c r="I11" s="24">
        <v>18</v>
      </c>
      <c r="J11" s="24">
        <v>53</v>
      </c>
      <c r="K11" s="24">
        <v>47</v>
      </c>
      <c r="L11" s="24">
        <f t="shared" si="0"/>
        <v>334</v>
      </c>
      <c r="M11" s="33">
        <f t="shared" si="1"/>
        <v>47.714285714285715</v>
      </c>
      <c r="N11" s="24">
        <v>47</v>
      </c>
      <c r="O11" s="24">
        <v>45</v>
      </c>
      <c r="P11" s="24">
        <v>70</v>
      </c>
      <c r="Q11" s="24">
        <v>20</v>
      </c>
      <c r="R11" s="24">
        <v>17</v>
      </c>
      <c r="S11" s="24">
        <v>61</v>
      </c>
      <c r="T11" s="24">
        <v>55</v>
      </c>
      <c r="U11" s="24">
        <v>82</v>
      </c>
      <c r="V11" s="24">
        <f t="shared" si="2"/>
        <v>397</v>
      </c>
      <c r="W11" s="33">
        <f t="shared" si="3"/>
        <v>49.625</v>
      </c>
      <c r="X11" s="24">
        <v>56</v>
      </c>
      <c r="Y11" s="24">
        <v>52</v>
      </c>
      <c r="Z11" s="33">
        <v>55</v>
      </c>
      <c r="AA11" s="33">
        <v>28</v>
      </c>
      <c r="AB11" s="33">
        <v>26</v>
      </c>
      <c r="AC11" s="33">
        <v>60</v>
      </c>
      <c r="AD11" s="33">
        <v>55</v>
      </c>
      <c r="AE11" s="33">
        <v>86</v>
      </c>
      <c r="AF11" s="24">
        <f t="shared" si="4"/>
        <v>418</v>
      </c>
      <c r="AG11" s="33">
        <f t="shared" si="5"/>
        <v>52.25</v>
      </c>
      <c r="AH11" s="24">
        <f t="shared" si="6"/>
        <v>1149</v>
      </c>
      <c r="AI11" s="33">
        <f t="shared" si="7"/>
        <v>49.863095238095241</v>
      </c>
      <c r="AJ11" s="38"/>
      <c r="AK11" s="24">
        <v>5</v>
      </c>
      <c r="AL11" s="39"/>
    </row>
    <row r="12" spans="1:38" s="11" customFormat="1" ht="49.95" customHeight="1">
      <c r="A12" s="19">
        <v>4</v>
      </c>
      <c r="B12" s="3">
        <v>222308569</v>
      </c>
      <c r="C12" s="4" t="s">
        <v>16</v>
      </c>
      <c r="D12" s="5" t="s">
        <v>17</v>
      </c>
      <c r="E12" s="24">
        <v>44</v>
      </c>
      <c r="F12" s="24">
        <v>48</v>
      </c>
      <c r="G12" s="24">
        <v>53</v>
      </c>
      <c r="H12" s="24">
        <v>21</v>
      </c>
      <c r="I12" s="24">
        <v>13</v>
      </c>
      <c r="J12" s="24">
        <v>48</v>
      </c>
      <c r="K12" s="24" t="s">
        <v>144</v>
      </c>
      <c r="L12" s="24">
        <f t="shared" si="0"/>
        <v>227</v>
      </c>
      <c r="M12" s="33">
        <f t="shared" si="1"/>
        <v>32.428571428571431</v>
      </c>
      <c r="N12" s="24">
        <v>26</v>
      </c>
      <c r="O12" s="24">
        <v>48</v>
      </c>
      <c r="P12" s="24">
        <v>60</v>
      </c>
      <c r="Q12" s="24">
        <v>22</v>
      </c>
      <c r="R12" s="24">
        <v>24</v>
      </c>
      <c r="S12" s="24">
        <v>61</v>
      </c>
      <c r="T12" s="24">
        <v>47</v>
      </c>
      <c r="U12" s="24">
        <v>89</v>
      </c>
      <c r="V12" s="24">
        <f t="shared" si="2"/>
        <v>377</v>
      </c>
      <c r="W12" s="33">
        <f t="shared" si="3"/>
        <v>47.125</v>
      </c>
      <c r="X12" s="24">
        <v>22</v>
      </c>
      <c r="Y12" s="24">
        <v>45</v>
      </c>
      <c r="Z12" s="33">
        <v>60</v>
      </c>
      <c r="AA12" s="33">
        <v>20</v>
      </c>
      <c r="AB12" s="33">
        <v>22</v>
      </c>
      <c r="AC12" s="33">
        <v>58</v>
      </c>
      <c r="AD12" s="33">
        <v>60</v>
      </c>
      <c r="AE12" s="33">
        <v>90</v>
      </c>
      <c r="AF12" s="24">
        <f t="shared" si="4"/>
        <v>377</v>
      </c>
      <c r="AG12" s="33">
        <f t="shared" si="5"/>
        <v>47.125</v>
      </c>
      <c r="AH12" s="24">
        <f t="shared" si="6"/>
        <v>981</v>
      </c>
      <c r="AI12" s="33">
        <f t="shared" si="7"/>
        <v>42.226190476190474</v>
      </c>
      <c r="AJ12" s="38"/>
      <c r="AK12" s="24">
        <v>8</v>
      </c>
      <c r="AL12" s="39"/>
    </row>
    <row r="13" spans="1:38" s="11" customFormat="1" ht="49.95" customHeight="1">
      <c r="A13" s="19">
        <v>5</v>
      </c>
      <c r="B13" s="3">
        <v>222308570</v>
      </c>
      <c r="C13" s="4" t="s">
        <v>18</v>
      </c>
      <c r="D13" s="5" t="s">
        <v>19</v>
      </c>
      <c r="E13" s="24">
        <v>44</v>
      </c>
      <c r="F13" s="24">
        <v>62</v>
      </c>
      <c r="G13" s="24">
        <v>78</v>
      </c>
      <c r="H13" s="24">
        <v>45</v>
      </c>
      <c r="I13" s="24">
        <v>21</v>
      </c>
      <c r="J13" s="24">
        <v>52</v>
      </c>
      <c r="K13" s="24">
        <v>53</v>
      </c>
      <c r="L13" s="24">
        <f t="shared" si="0"/>
        <v>355</v>
      </c>
      <c r="M13" s="33">
        <f t="shared" si="1"/>
        <v>50.714285714285715</v>
      </c>
      <c r="N13" s="24">
        <v>46</v>
      </c>
      <c r="O13" s="24">
        <v>49</v>
      </c>
      <c r="P13" s="24">
        <v>75</v>
      </c>
      <c r="Q13" s="24">
        <v>51</v>
      </c>
      <c r="R13" s="24">
        <v>15</v>
      </c>
      <c r="S13" s="24">
        <v>63</v>
      </c>
      <c r="T13" s="24">
        <v>48</v>
      </c>
      <c r="U13" s="24">
        <v>77</v>
      </c>
      <c r="V13" s="24">
        <f t="shared" si="2"/>
        <v>424</v>
      </c>
      <c r="W13" s="33">
        <f t="shared" si="3"/>
        <v>53</v>
      </c>
      <c r="X13" s="24">
        <v>52</v>
      </c>
      <c r="Y13" s="24">
        <v>57</v>
      </c>
      <c r="Z13" s="33">
        <v>60</v>
      </c>
      <c r="AA13" s="33">
        <v>46</v>
      </c>
      <c r="AB13" s="33">
        <v>52</v>
      </c>
      <c r="AC13" s="33">
        <v>60</v>
      </c>
      <c r="AD13" s="33">
        <v>61</v>
      </c>
      <c r="AE13" s="33">
        <v>94</v>
      </c>
      <c r="AF13" s="24">
        <f t="shared" si="4"/>
        <v>482</v>
      </c>
      <c r="AG13" s="33">
        <f t="shared" si="5"/>
        <v>60.25</v>
      </c>
      <c r="AH13" s="24">
        <f t="shared" si="6"/>
        <v>1261</v>
      </c>
      <c r="AI13" s="33">
        <f t="shared" si="7"/>
        <v>54.654761904761905</v>
      </c>
      <c r="AJ13" s="38"/>
      <c r="AK13" s="24">
        <v>2</v>
      </c>
      <c r="AL13" s="39"/>
    </row>
    <row r="14" spans="1:38" s="11" customFormat="1" ht="49.95" customHeight="1">
      <c r="A14" s="19">
        <v>6</v>
      </c>
      <c r="B14" s="3">
        <v>222308572</v>
      </c>
      <c r="C14" s="4" t="s">
        <v>20</v>
      </c>
      <c r="D14" s="5" t="s">
        <v>21</v>
      </c>
      <c r="E14" s="24">
        <v>16</v>
      </c>
      <c r="F14" s="24">
        <v>44</v>
      </c>
      <c r="G14" s="24">
        <v>55</v>
      </c>
      <c r="H14" s="24">
        <v>19</v>
      </c>
      <c r="I14" s="24">
        <v>16</v>
      </c>
      <c r="J14" s="24">
        <v>48</v>
      </c>
      <c r="K14" s="24">
        <v>51</v>
      </c>
      <c r="L14" s="24">
        <f t="shared" si="0"/>
        <v>249</v>
      </c>
      <c r="M14" s="33">
        <f t="shared" si="1"/>
        <v>35.571428571428569</v>
      </c>
      <c r="N14" s="24">
        <v>41</v>
      </c>
      <c r="O14" s="24">
        <v>48</v>
      </c>
      <c r="P14" s="24">
        <v>60</v>
      </c>
      <c r="Q14" s="24">
        <v>17</v>
      </c>
      <c r="R14" s="24">
        <v>15</v>
      </c>
      <c r="S14" s="24">
        <v>62</v>
      </c>
      <c r="T14" s="24">
        <v>49</v>
      </c>
      <c r="U14" s="24">
        <v>76</v>
      </c>
      <c r="V14" s="24">
        <f t="shared" si="2"/>
        <v>368</v>
      </c>
      <c r="W14" s="33">
        <f t="shared" si="3"/>
        <v>46</v>
      </c>
      <c r="X14" s="24">
        <v>62</v>
      </c>
      <c r="Y14" s="24">
        <v>46</v>
      </c>
      <c r="Z14" s="33">
        <v>60</v>
      </c>
      <c r="AA14" s="33">
        <v>46</v>
      </c>
      <c r="AB14" s="33">
        <v>27</v>
      </c>
      <c r="AC14" s="33">
        <v>58</v>
      </c>
      <c r="AD14" s="33">
        <v>60</v>
      </c>
      <c r="AE14" s="33">
        <v>85</v>
      </c>
      <c r="AF14" s="24">
        <f t="shared" si="4"/>
        <v>444</v>
      </c>
      <c r="AG14" s="33">
        <f t="shared" si="5"/>
        <v>55.5</v>
      </c>
      <c r="AH14" s="24">
        <f t="shared" si="6"/>
        <v>1061</v>
      </c>
      <c r="AI14" s="33">
        <f t="shared" si="7"/>
        <v>45.690476190476183</v>
      </c>
      <c r="AJ14" s="38"/>
      <c r="AK14" s="24">
        <v>8</v>
      </c>
      <c r="AL14" s="39"/>
    </row>
    <row r="15" spans="1:38" s="11" customFormat="1" ht="49.95" customHeight="1">
      <c r="A15" s="19">
        <v>7</v>
      </c>
      <c r="B15" s="3">
        <v>222308573</v>
      </c>
      <c r="C15" s="4" t="s">
        <v>22</v>
      </c>
      <c r="D15" s="5" t="s">
        <v>23</v>
      </c>
      <c r="E15" s="24">
        <v>48</v>
      </c>
      <c r="F15" s="24">
        <v>50</v>
      </c>
      <c r="G15" s="24">
        <v>80</v>
      </c>
      <c r="H15" s="24">
        <v>50</v>
      </c>
      <c r="I15" s="24">
        <v>53</v>
      </c>
      <c r="J15" s="24">
        <v>56</v>
      </c>
      <c r="K15" s="24">
        <v>46</v>
      </c>
      <c r="L15" s="24">
        <f t="shared" si="0"/>
        <v>383</v>
      </c>
      <c r="M15" s="33">
        <f t="shared" si="1"/>
        <v>54.714285714285715</v>
      </c>
      <c r="N15" s="24">
        <v>48</v>
      </c>
      <c r="O15" s="24">
        <v>47</v>
      </c>
      <c r="P15" s="24">
        <v>70</v>
      </c>
      <c r="Q15" s="24">
        <v>44</v>
      </c>
      <c r="R15" s="24">
        <v>51</v>
      </c>
      <c r="S15" s="24">
        <v>61</v>
      </c>
      <c r="T15" s="24">
        <v>64</v>
      </c>
      <c r="U15" s="24">
        <v>80</v>
      </c>
      <c r="V15" s="24">
        <f t="shared" si="2"/>
        <v>465</v>
      </c>
      <c r="W15" s="33">
        <f t="shared" si="3"/>
        <v>58.125</v>
      </c>
      <c r="X15" s="24">
        <v>51</v>
      </c>
      <c r="Y15" s="24">
        <v>36</v>
      </c>
      <c r="Z15" s="33">
        <v>55</v>
      </c>
      <c r="AA15" s="33">
        <v>54</v>
      </c>
      <c r="AB15" s="33">
        <v>59</v>
      </c>
      <c r="AC15" s="33">
        <v>60</v>
      </c>
      <c r="AD15" s="33">
        <v>55</v>
      </c>
      <c r="AE15" s="33">
        <v>86</v>
      </c>
      <c r="AF15" s="24">
        <f t="shared" si="4"/>
        <v>456</v>
      </c>
      <c r="AG15" s="33">
        <f t="shared" si="5"/>
        <v>57</v>
      </c>
      <c r="AH15" s="24">
        <f t="shared" si="6"/>
        <v>1304</v>
      </c>
      <c r="AI15" s="33">
        <f t="shared" si="7"/>
        <v>56.613095238095241</v>
      </c>
      <c r="AJ15" s="38"/>
      <c r="AK15" s="24">
        <v>2</v>
      </c>
      <c r="AL15" s="39"/>
    </row>
    <row r="16" spans="1:38" s="12" customFormat="1" ht="49.95" customHeight="1">
      <c r="A16" s="25">
        <v>8</v>
      </c>
      <c r="B16" s="26">
        <v>222308574</v>
      </c>
      <c r="C16" s="27" t="s">
        <v>24</v>
      </c>
      <c r="D16" s="28" t="s">
        <v>25</v>
      </c>
      <c r="E16" s="29">
        <v>60</v>
      </c>
      <c r="F16" s="29">
        <v>49</v>
      </c>
      <c r="G16" s="29">
        <v>93</v>
      </c>
      <c r="H16" s="29">
        <v>53</v>
      </c>
      <c r="I16" s="29">
        <v>53</v>
      </c>
      <c r="J16" s="29">
        <v>68</v>
      </c>
      <c r="K16" s="29">
        <v>61</v>
      </c>
      <c r="L16" s="29">
        <f t="shared" si="0"/>
        <v>437</v>
      </c>
      <c r="M16" s="34">
        <f t="shared" si="1"/>
        <v>62.428571428571431</v>
      </c>
      <c r="N16" s="29">
        <v>54</v>
      </c>
      <c r="O16" s="29">
        <v>51</v>
      </c>
      <c r="P16" s="29">
        <v>85</v>
      </c>
      <c r="Q16" s="29">
        <v>58</v>
      </c>
      <c r="R16" s="29">
        <v>80</v>
      </c>
      <c r="S16" s="29">
        <v>63</v>
      </c>
      <c r="T16" s="29">
        <v>68</v>
      </c>
      <c r="U16" s="29">
        <v>86</v>
      </c>
      <c r="V16" s="29">
        <f t="shared" si="2"/>
        <v>545</v>
      </c>
      <c r="W16" s="34">
        <f t="shared" si="3"/>
        <v>68.125</v>
      </c>
      <c r="X16" s="29">
        <v>55</v>
      </c>
      <c r="Y16" s="29">
        <v>49</v>
      </c>
      <c r="Z16" s="34">
        <v>95</v>
      </c>
      <c r="AA16" s="34">
        <v>62</v>
      </c>
      <c r="AB16" s="34">
        <v>80</v>
      </c>
      <c r="AC16" s="34">
        <v>80</v>
      </c>
      <c r="AD16" s="34">
        <v>89</v>
      </c>
      <c r="AE16" s="34">
        <v>95</v>
      </c>
      <c r="AF16" s="29">
        <f t="shared" si="4"/>
        <v>605</v>
      </c>
      <c r="AG16" s="34">
        <f t="shared" si="5"/>
        <v>75.625</v>
      </c>
      <c r="AH16" s="29">
        <f t="shared" si="6"/>
        <v>1587</v>
      </c>
      <c r="AI16" s="34">
        <f t="shared" si="7"/>
        <v>68.726190476190482</v>
      </c>
      <c r="AJ16" s="40"/>
      <c r="AK16" s="29" t="s">
        <v>11</v>
      </c>
      <c r="AL16" s="41"/>
    </row>
    <row r="17" spans="1:38" s="11" customFormat="1" ht="49.95" customHeight="1">
      <c r="A17" s="19">
        <v>9</v>
      </c>
      <c r="B17" s="3">
        <v>222308575</v>
      </c>
      <c r="C17" s="4" t="s">
        <v>26</v>
      </c>
      <c r="D17" s="5" t="s">
        <v>27</v>
      </c>
      <c r="E17" s="24">
        <v>38</v>
      </c>
      <c r="F17" s="24">
        <v>49</v>
      </c>
      <c r="G17" s="24">
        <v>88</v>
      </c>
      <c r="H17" s="24">
        <v>34</v>
      </c>
      <c r="I17" s="24">
        <v>54</v>
      </c>
      <c r="J17" s="24">
        <v>54</v>
      </c>
      <c r="K17" s="24">
        <v>51</v>
      </c>
      <c r="L17" s="24">
        <f t="shared" si="0"/>
        <v>368</v>
      </c>
      <c r="M17" s="33">
        <f t="shared" si="1"/>
        <v>52.571428571428569</v>
      </c>
      <c r="N17" s="24">
        <v>46</v>
      </c>
      <c r="O17" s="24">
        <v>47</v>
      </c>
      <c r="P17" s="24">
        <v>85</v>
      </c>
      <c r="Q17" s="24">
        <v>45</v>
      </c>
      <c r="R17" s="24">
        <v>50</v>
      </c>
      <c r="S17" s="24">
        <v>68</v>
      </c>
      <c r="T17" s="24">
        <v>60</v>
      </c>
      <c r="U17" s="24">
        <v>81</v>
      </c>
      <c r="V17" s="24">
        <f t="shared" si="2"/>
        <v>482</v>
      </c>
      <c r="W17" s="33">
        <f t="shared" si="3"/>
        <v>60.25</v>
      </c>
      <c r="X17" s="24">
        <v>27</v>
      </c>
      <c r="Y17" s="24">
        <v>55</v>
      </c>
      <c r="Z17" s="33">
        <v>55</v>
      </c>
      <c r="AA17" s="33">
        <v>33</v>
      </c>
      <c r="AB17" s="33">
        <v>53</v>
      </c>
      <c r="AC17" s="33">
        <v>100</v>
      </c>
      <c r="AD17" s="33">
        <v>56</v>
      </c>
      <c r="AE17" s="33">
        <v>88</v>
      </c>
      <c r="AF17" s="24">
        <f t="shared" si="4"/>
        <v>467</v>
      </c>
      <c r="AG17" s="33">
        <f t="shared" si="5"/>
        <v>58.375</v>
      </c>
      <c r="AH17" s="24">
        <f t="shared" si="6"/>
        <v>1317</v>
      </c>
      <c r="AI17" s="33">
        <f t="shared" si="7"/>
        <v>57.065476190476183</v>
      </c>
      <c r="AJ17" s="38"/>
      <c r="AK17" s="24">
        <v>4</v>
      </c>
      <c r="AL17" s="39"/>
    </row>
    <row r="18" spans="1:38" s="12" customFormat="1" ht="49.95" customHeight="1">
      <c r="A18" s="25">
        <v>10</v>
      </c>
      <c r="B18" s="26">
        <v>222308576</v>
      </c>
      <c r="C18" s="27" t="s">
        <v>28</v>
      </c>
      <c r="D18" s="28" t="s">
        <v>29</v>
      </c>
      <c r="E18" s="29">
        <v>52</v>
      </c>
      <c r="F18" s="29">
        <v>51</v>
      </c>
      <c r="G18" s="29">
        <v>93</v>
      </c>
      <c r="H18" s="29">
        <v>87</v>
      </c>
      <c r="I18" s="29">
        <v>56</v>
      </c>
      <c r="J18" s="29">
        <v>66</v>
      </c>
      <c r="K18" s="29">
        <v>72</v>
      </c>
      <c r="L18" s="29">
        <f t="shared" si="0"/>
        <v>477</v>
      </c>
      <c r="M18" s="34">
        <f t="shared" si="1"/>
        <v>68.142857142857139</v>
      </c>
      <c r="N18" s="29">
        <v>58</v>
      </c>
      <c r="O18" s="29">
        <v>50</v>
      </c>
      <c r="P18" s="29">
        <v>90</v>
      </c>
      <c r="Q18" s="29">
        <v>54</v>
      </c>
      <c r="R18" s="29">
        <v>79</v>
      </c>
      <c r="S18" s="29">
        <v>77</v>
      </c>
      <c r="T18" s="29">
        <v>71</v>
      </c>
      <c r="U18" s="29">
        <v>76</v>
      </c>
      <c r="V18" s="29">
        <f t="shared" si="2"/>
        <v>555</v>
      </c>
      <c r="W18" s="34">
        <f t="shared" si="3"/>
        <v>69.375</v>
      </c>
      <c r="X18" s="29">
        <v>54</v>
      </c>
      <c r="Y18" s="29">
        <v>51</v>
      </c>
      <c r="Z18" s="34">
        <v>100</v>
      </c>
      <c r="AA18" s="34">
        <v>65</v>
      </c>
      <c r="AB18" s="34">
        <v>80</v>
      </c>
      <c r="AC18" s="34">
        <v>65</v>
      </c>
      <c r="AD18" s="34">
        <v>90</v>
      </c>
      <c r="AE18" s="34">
        <v>95</v>
      </c>
      <c r="AF18" s="29">
        <f t="shared" si="4"/>
        <v>600</v>
      </c>
      <c r="AG18" s="34">
        <f t="shared" si="5"/>
        <v>75</v>
      </c>
      <c r="AH18" s="29">
        <f t="shared" si="6"/>
        <v>1632</v>
      </c>
      <c r="AI18" s="34">
        <f t="shared" si="7"/>
        <v>70.839285714285708</v>
      </c>
      <c r="AJ18" s="40"/>
      <c r="AK18" s="35" t="s">
        <v>11</v>
      </c>
      <c r="AL18" s="41"/>
    </row>
    <row r="19" spans="1:38" s="11" customFormat="1" ht="49.95" customHeight="1">
      <c r="A19" s="19">
        <v>11</v>
      </c>
      <c r="B19" s="3">
        <v>222308577</v>
      </c>
      <c r="C19" s="4" t="s">
        <v>30</v>
      </c>
      <c r="D19" s="5" t="s">
        <v>31</v>
      </c>
      <c r="E19" s="24">
        <v>47</v>
      </c>
      <c r="F19" s="24">
        <v>50</v>
      </c>
      <c r="G19" s="24">
        <v>62</v>
      </c>
      <c r="H19" s="24">
        <v>52</v>
      </c>
      <c r="I19" s="24">
        <v>12</v>
      </c>
      <c r="J19" s="24">
        <v>50</v>
      </c>
      <c r="K19" s="24">
        <v>45</v>
      </c>
      <c r="L19" s="24">
        <f t="shared" si="0"/>
        <v>318</v>
      </c>
      <c r="M19" s="33">
        <f t="shared" si="1"/>
        <v>45.428571428571431</v>
      </c>
      <c r="N19" s="24">
        <v>43</v>
      </c>
      <c r="O19" s="24">
        <v>59</v>
      </c>
      <c r="P19" s="24">
        <v>70</v>
      </c>
      <c r="Q19" s="24">
        <v>21</v>
      </c>
      <c r="R19" s="24">
        <v>20</v>
      </c>
      <c r="S19" s="24">
        <v>60</v>
      </c>
      <c r="T19" s="24">
        <v>53</v>
      </c>
      <c r="U19" s="24">
        <v>82</v>
      </c>
      <c r="V19" s="24">
        <f t="shared" si="2"/>
        <v>408</v>
      </c>
      <c r="W19" s="33">
        <f t="shared" si="3"/>
        <v>51</v>
      </c>
      <c r="X19" s="24">
        <v>44</v>
      </c>
      <c r="Y19" s="24">
        <v>58</v>
      </c>
      <c r="Z19" s="33">
        <v>60</v>
      </c>
      <c r="AA19" s="33">
        <v>55</v>
      </c>
      <c r="AB19" s="33">
        <v>63</v>
      </c>
      <c r="AC19" s="33">
        <v>65</v>
      </c>
      <c r="AD19" s="33">
        <v>65</v>
      </c>
      <c r="AE19" s="33">
        <v>94</v>
      </c>
      <c r="AF19" s="24">
        <f t="shared" si="4"/>
        <v>504</v>
      </c>
      <c r="AG19" s="33">
        <f t="shared" si="5"/>
        <v>63</v>
      </c>
      <c r="AH19" s="24">
        <f t="shared" si="6"/>
        <v>1230</v>
      </c>
      <c r="AI19" s="33">
        <f t="shared" si="7"/>
        <v>53.142857142857146</v>
      </c>
      <c r="AJ19" s="38"/>
      <c r="AK19" s="24">
        <v>3</v>
      </c>
      <c r="AL19" s="39"/>
    </row>
    <row r="20" spans="1:38" s="11" customFormat="1" ht="49.95" customHeight="1">
      <c r="A20" s="19">
        <v>12</v>
      </c>
      <c r="B20" s="3">
        <v>222308580</v>
      </c>
      <c r="C20" s="4" t="s">
        <v>32</v>
      </c>
      <c r="D20" s="5" t="s">
        <v>33</v>
      </c>
      <c r="E20" s="24">
        <v>18</v>
      </c>
      <c r="F20" s="24">
        <v>50</v>
      </c>
      <c r="G20" s="24">
        <v>55</v>
      </c>
      <c r="H20" s="24">
        <v>19</v>
      </c>
      <c r="I20" s="24">
        <v>28</v>
      </c>
      <c r="J20" s="24">
        <v>48</v>
      </c>
      <c r="K20" s="24">
        <v>48</v>
      </c>
      <c r="L20" s="24">
        <f t="shared" si="0"/>
        <v>266</v>
      </c>
      <c r="M20" s="33">
        <f t="shared" si="1"/>
        <v>38</v>
      </c>
      <c r="N20" s="24">
        <v>31</v>
      </c>
      <c r="O20" s="24">
        <v>55</v>
      </c>
      <c r="P20" s="24">
        <v>60</v>
      </c>
      <c r="Q20" s="24">
        <v>46</v>
      </c>
      <c r="R20" s="24">
        <v>54</v>
      </c>
      <c r="S20" s="24">
        <v>60</v>
      </c>
      <c r="T20" s="24">
        <v>46</v>
      </c>
      <c r="U20" s="24">
        <v>69</v>
      </c>
      <c r="V20" s="24">
        <f t="shared" si="2"/>
        <v>421</v>
      </c>
      <c r="W20" s="33">
        <f t="shared" si="3"/>
        <v>52.625</v>
      </c>
      <c r="X20" s="24">
        <v>42</v>
      </c>
      <c r="Y20" s="24">
        <v>48</v>
      </c>
      <c r="Z20" s="33">
        <v>55</v>
      </c>
      <c r="AA20" s="33">
        <v>55</v>
      </c>
      <c r="AB20" s="33">
        <v>41</v>
      </c>
      <c r="AC20" s="33">
        <v>65</v>
      </c>
      <c r="AD20" s="33">
        <v>53</v>
      </c>
      <c r="AE20" s="33">
        <v>90</v>
      </c>
      <c r="AF20" s="24">
        <f t="shared" si="4"/>
        <v>449</v>
      </c>
      <c r="AG20" s="33">
        <f t="shared" si="5"/>
        <v>56.125</v>
      </c>
      <c r="AH20" s="24">
        <f t="shared" si="6"/>
        <v>1136</v>
      </c>
      <c r="AI20" s="33">
        <f t="shared" si="7"/>
        <v>48.916666666666664</v>
      </c>
      <c r="AJ20" s="38"/>
      <c r="AK20" s="24">
        <v>4</v>
      </c>
      <c r="AL20" s="39"/>
    </row>
    <row r="21" spans="1:38" s="11" customFormat="1" ht="49.95" customHeight="1">
      <c r="A21" s="19">
        <v>13</v>
      </c>
      <c r="B21" s="3">
        <v>222308581</v>
      </c>
      <c r="C21" s="4" t="s">
        <v>34</v>
      </c>
      <c r="D21" s="5" t="s">
        <v>35</v>
      </c>
      <c r="E21" s="24">
        <v>45</v>
      </c>
      <c r="F21" s="24">
        <v>49</v>
      </c>
      <c r="G21" s="24">
        <v>70</v>
      </c>
      <c r="H21" s="24">
        <v>47</v>
      </c>
      <c r="I21" s="24">
        <v>45</v>
      </c>
      <c r="J21" s="24">
        <v>50</v>
      </c>
      <c r="K21" s="24">
        <v>58</v>
      </c>
      <c r="L21" s="24">
        <f t="shared" si="0"/>
        <v>364</v>
      </c>
      <c r="M21" s="33">
        <f t="shared" si="1"/>
        <v>52</v>
      </c>
      <c r="N21" s="24">
        <v>50</v>
      </c>
      <c r="O21" s="24">
        <v>48</v>
      </c>
      <c r="P21" s="24">
        <v>75</v>
      </c>
      <c r="Q21" s="24">
        <v>47</v>
      </c>
      <c r="R21" s="24">
        <v>48</v>
      </c>
      <c r="S21" s="24">
        <v>64</v>
      </c>
      <c r="T21" s="24">
        <v>52</v>
      </c>
      <c r="U21" s="24">
        <v>80</v>
      </c>
      <c r="V21" s="24">
        <f t="shared" si="2"/>
        <v>464</v>
      </c>
      <c r="W21" s="33">
        <f t="shared" si="3"/>
        <v>58</v>
      </c>
      <c r="X21" s="24">
        <v>49</v>
      </c>
      <c r="Y21" s="24">
        <v>53</v>
      </c>
      <c r="Z21" s="33">
        <v>85</v>
      </c>
      <c r="AA21" s="33">
        <v>31</v>
      </c>
      <c r="AB21" s="33">
        <v>50</v>
      </c>
      <c r="AC21" s="33">
        <v>60</v>
      </c>
      <c r="AD21" s="33">
        <v>82</v>
      </c>
      <c r="AE21" s="33">
        <v>93</v>
      </c>
      <c r="AF21" s="24">
        <f t="shared" si="4"/>
        <v>503</v>
      </c>
      <c r="AG21" s="33">
        <f t="shared" si="5"/>
        <v>62.875</v>
      </c>
      <c r="AH21" s="24">
        <f t="shared" si="6"/>
        <v>1331</v>
      </c>
      <c r="AI21" s="33">
        <f t="shared" si="7"/>
        <v>57.625</v>
      </c>
      <c r="AJ21" s="38"/>
      <c r="AK21" s="24">
        <v>2</v>
      </c>
      <c r="AL21" s="39"/>
    </row>
    <row r="22" spans="1:38" s="11" customFormat="1" ht="49.95" customHeight="1">
      <c r="A22" s="19">
        <v>14</v>
      </c>
      <c r="B22" s="3">
        <v>222308582</v>
      </c>
      <c r="C22" s="4" t="s">
        <v>36</v>
      </c>
      <c r="D22" s="5" t="s">
        <v>37</v>
      </c>
      <c r="E22" s="24">
        <v>61</v>
      </c>
      <c r="F22" s="24">
        <v>61</v>
      </c>
      <c r="G22" s="24">
        <v>88</v>
      </c>
      <c r="H22" s="24">
        <v>68</v>
      </c>
      <c r="I22" s="24">
        <v>62</v>
      </c>
      <c r="J22" s="24">
        <v>73</v>
      </c>
      <c r="K22" s="24">
        <v>73</v>
      </c>
      <c r="L22" s="24">
        <f t="shared" si="0"/>
        <v>486</v>
      </c>
      <c r="M22" s="33">
        <f t="shared" si="1"/>
        <v>69.428571428571431</v>
      </c>
      <c r="N22" s="30">
        <v>53</v>
      </c>
      <c r="O22" s="30">
        <v>59</v>
      </c>
      <c r="P22" s="30">
        <v>85</v>
      </c>
      <c r="Q22" s="30">
        <v>65</v>
      </c>
      <c r="R22" s="30">
        <v>51</v>
      </c>
      <c r="S22" s="30">
        <v>69</v>
      </c>
      <c r="T22" s="30">
        <v>61</v>
      </c>
      <c r="U22" s="30">
        <v>85</v>
      </c>
      <c r="V22" s="24">
        <f t="shared" si="2"/>
        <v>528</v>
      </c>
      <c r="W22" s="33">
        <f t="shared" si="3"/>
        <v>66</v>
      </c>
      <c r="X22" s="24">
        <v>62</v>
      </c>
      <c r="Y22" s="24">
        <v>71</v>
      </c>
      <c r="Z22" s="33">
        <v>100</v>
      </c>
      <c r="AA22" s="33">
        <v>61</v>
      </c>
      <c r="AB22" s="33">
        <v>50</v>
      </c>
      <c r="AC22" s="33">
        <v>58</v>
      </c>
      <c r="AD22" s="33">
        <v>89</v>
      </c>
      <c r="AE22" s="33">
        <v>90</v>
      </c>
      <c r="AF22" s="24">
        <f t="shared" si="4"/>
        <v>581</v>
      </c>
      <c r="AG22" s="33">
        <f t="shared" si="5"/>
        <v>72.625</v>
      </c>
      <c r="AH22" s="24">
        <f t="shared" si="6"/>
        <v>1595</v>
      </c>
      <c r="AI22" s="33">
        <f t="shared" si="7"/>
        <v>69.351190476190482</v>
      </c>
      <c r="AJ22" s="38">
        <v>11</v>
      </c>
      <c r="AK22" s="24" t="s">
        <v>11</v>
      </c>
      <c r="AL22" s="39"/>
    </row>
    <row r="23" spans="1:38" s="11" customFormat="1" ht="49.95" customHeight="1">
      <c r="A23" s="19">
        <v>15</v>
      </c>
      <c r="B23" s="3">
        <v>222308585</v>
      </c>
      <c r="C23" s="4" t="s">
        <v>38</v>
      </c>
      <c r="D23" s="5" t="s">
        <v>39</v>
      </c>
      <c r="E23" s="24">
        <v>46</v>
      </c>
      <c r="F23" s="24">
        <v>49</v>
      </c>
      <c r="G23" s="24">
        <v>93</v>
      </c>
      <c r="H23" s="24">
        <v>47</v>
      </c>
      <c r="I23" s="24">
        <v>75</v>
      </c>
      <c r="J23" s="24">
        <v>47</v>
      </c>
      <c r="K23" s="24">
        <v>49</v>
      </c>
      <c r="L23" s="24">
        <f t="shared" si="0"/>
        <v>406</v>
      </c>
      <c r="M23" s="33">
        <f t="shared" si="1"/>
        <v>58</v>
      </c>
      <c r="N23" s="24">
        <v>57</v>
      </c>
      <c r="O23" s="24">
        <v>49</v>
      </c>
      <c r="P23" s="24">
        <v>80</v>
      </c>
      <c r="Q23" s="24">
        <v>47</v>
      </c>
      <c r="R23" s="24">
        <v>52</v>
      </c>
      <c r="S23" s="24">
        <v>69</v>
      </c>
      <c r="T23" s="24">
        <v>66</v>
      </c>
      <c r="U23" s="24">
        <v>86</v>
      </c>
      <c r="V23" s="24">
        <f t="shared" si="2"/>
        <v>506</v>
      </c>
      <c r="W23" s="33">
        <f t="shared" si="3"/>
        <v>63.25</v>
      </c>
      <c r="X23" s="24">
        <v>54</v>
      </c>
      <c r="Y23" s="24">
        <v>64</v>
      </c>
      <c r="Z23" s="33">
        <v>85</v>
      </c>
      <c r="AA23" s="33">
        <v>52</v>
      </c>
      <c r="AB23" s="33">
        <v>88</v>
      </c>
      <c r="AC23" s="33">
        <v>100</v>
      </c>
      <c r="AD23" s="33">
        <v>80</v>
      </c>
      <c r="AE23" s="33">
        <v>99</v>
      </c>
      <c r="AF23" s="24">
        <f t="shared" si="4"/>
        <v>622</v>
      </c>
      <c r="AG23" s="33">
        <f t="shared" si="5"/>
        <v>77.75</v>
      </c>
      <c r="AH23" s="24">
        <f t="shared" si="6"/>
        <v>1534</v>
      </c>
      <c r="AI23" s="33">
        <f t="shared" si="7"/>
        <v>66.333333333333329</v>
      </c>
      <c r="AJ23" s="38">
        <v>14</v>
      </c>
      <c r="AK23" s="24" t="s">
        <v>11</v>
      </c>
      <c r="AL23" s="39"/>
    </row>
    <row r="24" spans="1:38" s="11" customFormat="1" ht="49.95" customHeight="1">
      <c r="A24" s="19">
        <v>16</v>
      </c>
      <c r="B24" s="3">
        <v>222308594</v>
      </c>
      <c r="C24" s="4" t="s">
        <v>40</v>
      </c>
      <c r="D24" s="5" t="s">
        <v>41</v>
      </c>
      <c r="E24" s="24">
        <v>76</v>
      </c>
      <c r="F24" s="24">
        <v>58</v>
      </c>
      <c r="G24" s="24">
        <v>85</v>
      </c>
      <c r="H24" s="24">
        <v>50</v>
      </c>
      <c r="I24" s="24">
        <v>49</v>
      </c>
      <c r="J24" s="24">
        <v>61</v>
      </c>
      <c r="K24" s="24">
        <v>61</v>
      </c>
      <c r="L24" s="24">
        <f t="shared" si="0"/>
        <v>440</v>
      </c>
      <c r="M24" s="33">
        <f t="shared" si="1"/>
        <v>62.857142857142854</v>
      </c>
      <c r="N24" s="24">
        <v>62</v>
      </c>
      <c r="O24" s="24">
        <v>43</v>
      </c>
      <c r="P24" s="24">
        <v>90</v>
      </c>
      <c r="Q24" s="24">
        <v>41</v>
      </c>
      <c r="R24" s="24">
        <v>50</v>
      </c>
      <c r="S24" s="24">
        <v>84</v>
      </c>
      <c r="T24" s="24">
        <v>54</v>
      </c>
      <c r="U24" s="24">
        <v>77</v>
      </c>
      <c r="V24" s="24">
        <f t="shared" si="2"/>
        <v>501</v>
      </c>
      <c r="W24" s="33">
        <f t="shared" si="3"/>
        <v>62.625</v>
      </c>
      <c r="X24" s="24">
        <v>73</v>
      </c>
      <c r="Y24" s="24">
        <v>54</v>
      </c>
      <c r="Z24" s="33">
        <v>85</v>
      </c>
      <c r="AA24" s="33">
        <v>52</v>
      </c>
      <c r="AB24" s="33">
        <v>71</v>
      </c>
      <c r="AC24" s="33">
        <v>70</v>
      </c>
      <c r="AD24" s="33">
        <v>82</v>
      </c>
      <c r="AE24" s="33">
        <v>88</v>
      </c>
      <c r="AF24" s="24">
        <f t="shared" si="4"/>
        <v>575</v>
      </c>
      <c r="AG24" s="33">
        <f t="shared" si="5"/>
        <v>71.875</v>
      </c>
      <c r="AH24" s="24">
        <f t="shared" si="6"/>
        <v>1516</v>
      </c>
      <c r="AI24" s="33">
        <f t="shared" si="7"/>
        <v>65.785714285714292</v>
      </c>
      <c r="AJ24" s="38">
        <v>15</v>
      </c>
      <c r="AK24" s="24" t="s">
        <v>145</v>
      </c>
      <c r="AL24" s="39"/>
    </row>
    <row r="25" spans="1:38" s="11" customFormat="1" ht="49.95" customHeight="1">
      <c r="A25" s="19">
        <v>17</v>
      </c>
      <c r="B25" s="3">
        <v>222308596</v>
      </c>
      <c r="C25" s="4" t="s">
        <v>42</v>
      </c>
      <c r="D25" s="5" t="s">
        <v>43</v>
      </c>
      <c r="E25" s="24">
        <v>42</v>
      </c>
      <c r="F25" s="24">
        <v>46</v>
      </c>
      <c r="G25" s="24">
        <v>83</v>
      </c>
      <c r="H25" s="24">
        <v>34</v>
      </c>
      <c r="I25" s="24">
        <v>21</v>
      </c>
      <c r="J25" s="24">
        <v>47</v>
      </c>
      <c r="K25" s="24">
        <v>53</v>
      </c>
      <c r="L25" s="24">
        <f t="shared" si="0"/>
        <v>326</v>
      </c>
      <c r="M25" s="33">
        <f t="shared" si="1"/>
        <v>46.571428571428569</v>
      </c>
      <c r="N25" s="24">
        <v>50</v>
      </c>
      <c r="O25" s="24">
        <v>49</v>
      </c>
      <c r="P25" s="24">
        <v>60</v>
      </c>
      <c r="Q25" s="24">
        <v>27</v>
      </c>
      <c r="R25" s="24">
        <v>17</v>
      </c>
      <c r="S25" s="24">
        <v>80</v>
      </c>
      <c r="T25" s="24">
        <v>57</v>
      </c>
      <c r="U25" s="24">
        <v>79</v>
      </c>
      <c r="V25" s="24">
        <f t="shared" si="2"/>
        <v>419</v>
      </c>
      <c r="W25" s="33">
        <f t="shared" si="3"/>
        <v>52.375</v>
      </c>
      <c r="X25" s="24">
        <v>48</v>
      </c>
      <c r="Y25" s="24">
        <v>50</v>
      </c>
      <c r="Z25" s="33">
        <v>80</v>
      </c>
      <c r="AA25" s="33">
        <v>27</v>
      </c>
      <c r="AB25" s="33">
        <v>48</v>
      </c>
      <c r="AC25" s="33">
        <v>65</v>
      </c>
      <c r="AD25" s="33">
        <v>82</v>
      </c>
      <c r="AE25" s="33">
        <v>88</v>
      </c>
      <c r="AF25" s="24">
        <f t="shared" si="4"/>
        <v>488</v>
      </c>
      <c r="AG25" s="33">
        <f t="shared" si="5"/>
        <v>61</v>
      </c>
      <c r="AH25" s="24">
        <f t="shared" si="6"/>
        <v>1233</v>
      </c>
      <c r="AI25" s="33">
        <f t="shared" si="7"/>
        <v>53.315476190476183</v>
      </c>
      <c r="AJ25" s="38"/>
      <c r="AK25" s="24">
        <v>6</v>
      </c>
      <c r="AL25" s="39"/>
    </row>
    <row r="26" spans="1:38" s="11" customFormat="1" ht="49.95" customHeight="1">
      <c r="A26" s="19">
        <v>18</v>
      </c>
      <c r="B26" s="3">
        <v>222308597</v>
      </c>
      <c r="C26" s="4" t="s">
        <v>44</v>
      </c>
      <c r="D26" s="5" t="s">
        <v>45</v>
      </c>
      <c r="E26" s="24">
        <v>27</v>
      </c>
      <c r="F26" s="24">
        <v>32</v>
      </c>
      <c r="G26" s="24">
        <v>80</v>
      </c>
      <c r="H26" s="24">
        <v>34</v>
      </c>
      <c r="I26" s="24">
        <v>17</v>
      </c>
      <c r="J26" s="24">
        <v>49</v>
      </c>
      <c r="K26" s="24">
        <v>61</v>
      </c>
      <c r="L26" s="24">
        <f t="shared" si="0"/>
        <v>300</v>
      </c>
      <c r="M26" s="33">
        <f t="shared" si="1"/>
        <v>42.857142857142854</v>
      </c>
      <c r="N26" s="24">
        <v>53</v>
      </c>
      <c r="O26" s="24">
        <v>46</v>
      </c>
      <c r="P26" s="24">
        <v>70</v>
      </c>
      <c r="Q26" s="24">
        <v>44</v>
      </c>
      <c r="R26" s="24">
        <v>14</v>
      </c>
      <c r="S26" s="24">
        <v>77</v>
      </c>
      <c r="T26" s="24">
        <v>55</v>
      </c>
      <c r="U26" s="24">
        <v>91</v>
      </c>
      <c r="V26" s="24">
        <f t="shared" si="2"/>
        <v>450</v>
      </c>
      <c r="W26" s="33">
        <f t="shared" si="3"/>
        <v>56.25</v>
      </c>
      <c r="X26" s="19">
        <v>25</v>
      </c>
      <c r="Y26" s="24">
        <v>57</v>
      </c>
      <c r="Z26" s="33">
        <v>70</v>
      </c>
      <c r="AA26" s="33">
        <v>22</v>
      </c>
      <c r="AB26" s="33">
        <v>45</v>
      </c>
      <c r="AC26" s="33">
        <v>90</v>
      </c>
      <c r="AD26" s="33">
        <v>74</v>
      </c>
      <c r="AE26" s="33">
        <v>85</v>
      </c>
      <c r="AF26" s="24">
        <f t="shared" si="4"/>
        <v>468</v>
      </c>
      <c r="AG26" s="33">
        <f t="shared" si="5"/>
        <v>58.5</v>
      </c>
      <c r="AH26" s="24">
        <f t="shared" si="6"/>
        <v>1218</v>
      </c>
      <c r="AI26" s="33">
        <f t="shared" si="7"/>
        <v>52.535714285714285</v>
      </c>
      <c r="AJ26" s="38"/>
      <c r="AK26" s="30">
        <v>6</v>
      </c>
      <c r="AL26" s="39"/>
    </row>
    <row r="27" spans="1:38" s="11" customFormat="1" ht="49.95" customHeight="1">
      <c r="A27" s="19">
        <v>19</v>
      </c>
      <c r="B27" s="3">
        <v>222308598</v>
      </c>
      <c r="C27" s="4" t="s">
        <v>46</v>
      </c>
      <c r="D27" s="5" t="s">
        <v>146</v>
      </c>
      <c r="E27" s="24">
        <v>47</v>
      </c>
      <c r="F27" s="24">
        <v>37</v>
      </c>
      <c r="G27" s="24">
        <v>89</v>
      </c>
      <c r="H27" s="24">
        <v>45</v>
      </c>
      <c r="I27" s="24">
        <v>28</v>
      </c>
      <c r="J27" s="24">
        <v>59</v>
      </c>
      <c r="K27" s="24">
        <v>57</v>
      </c>
      <c r="L27" s="24">
        <f t="shared" si="0"/>
        <v>362</v>
      </c>
      <c r="M27" s="33">
        <f t="shared" si="1"/>
        <v>51.714285714285715</v>
      </c>
      <c r="N27" s="24">
        <v>45</v>
      </c>
      <c r="O27" s="24">
        <v>51</v>
      </c>
      <c r="P27" s="24">
        <v>70</v>
      </c>
      <c r="Q27" s="24">
        <v>17</v>
      </c>
      <c r="R27" s="24">
        <v>21</v>
      </c>
      <c r="S27" s="24">
        <v>68</v>
      </c>
      <c r="T27" s="24">
        <v>58</v>
      </c>
      <c r="U27" s="24">
        <v>84</v>
      </c>
      <c r="V27" s="24">
        <f t="shared" si="2"/>
        <v>414</v>
      </c>
      <c r="W27" s="33">
        <f t="shared" si="3"/>
        <v>51.75</v>
      </c>
      <c r="X27" s="24">
        <v>48</v>
      </c>
      <c r="Y27" s="24">
        <v>17</v>
      </c>
      <c r="Z27" s="33">
        <v>70</v>
      </c>
      <c r="AA27" s="33">
        <v>46</v>
      </c>
      <c r="AB27" s="33">
        <v>68</v>
      </c>
      <c r="AC27" s="33">
        <v>80</v>
      </c>
      <c r="AD27" s="33">
        <v>71</v>
      </c>
      <c r="AE27" s="33">
        <v>98</v>
      </c>
      <c r="AF27" s="24">
        <f t="shared" si="4"/>
        <v>498</v>
      </c>
      <c r="AG27" s="33">
        <f t="shared" si="5"/>
        <v>62.25</v>
      </c>
      <c r="AH27" s="24">
        <f t="shared" si="6"/>
        <v>1274</v>
      </c>
      <c r="AI27" s="33">
        <f t="shared" si="7"/>
        <v>55.238095238095241</v>
      </c>
      <c r="AJ27" s="38"/>
      <c r="AK27" s="24">
        <v>5</v>
      </c>
      <c r="AL27" s="39"/>
    </row>
    <row r="28" spans="1:38" s="11" customFormat="1" ht="49.95" customHeight="1">
      <c r="A28" s="19">
        <v>20</v>
      </c>
      <c r="B28" s="3">
        <v>222308600</v>
      </c>
      <c r="C28" s="4" t="s">
        <v>47</v>
      </c>
      <c r="D28" s="5" t="s">
        <v>48</v>
      </c>
      <c r="E28" s="24">
        <v>65</v>
      </c>
      <c r="F28" s="24">
        <v>77</v>
      </c>
      <c r="G28" s="24">
        <v>100</v>
      </c>
      <c r="H28" s="24">
        <v>75</v>
      </c>
      <c r="I28" s="24">
        <v>55</v>
      </c>
      <c r="J28" s="24">
        <v>74</v>
      </c>
      <c r="K28" s="24">
        <v>78</v>
      </c>
      <c r="L28" s="24">
        <f t="shared" si="0"/>
        <v>524</v>
      </c>
      <c r="M28" s="33">
        <f t="shared" si="1"/>
        <v>74.857142857142861</v>
      </c>
      <c r="N28" s="24">
        <v>79</v>
      </c>
      <c r="O28" s="24">
        <v>82</v>
      </c>
      <c r="P28" s="24">
        <v>100</v>
      </c>
      <c r="Q28" s="24">
        <v>82</v>
      </c>
      <c r="R28" s="24">
        <v>91</v>
      </c>
      <c r="S28" s="24">
        <v>93</v>
      </c>
      <c r="T28" s="24">
        <v>81</v>
      </c>
      <c r="U28" s="24">
        <v>87</v>
      </c>
      <c r="V28" s="24">
        <f t="shared" si="2"/>
        <v>695</v>
      </c>
      <c r="W28" s="33">
        <f t="shared" si="3"/>
        <v>86.875</v>
      </c>
      <c r="X28" s="24">
        <v>76</v>
      </c>
      <c r="Y28" s="24">
        <v>71</v>
      </c>
      <c r="Z28" s="33">
        <v>100</v>
      </c>
      <c r="AA28" s="33">
        <v>71</v>
      </c>
      <c r="AB28" s="33">
        <v>93</v>
      </c>
      <c r="AC28" s="33">
        <v>100</v>
      </c>
      <c r="AD28" s="33">
        <v>100</v>
      </c>
      <c r="AE28" s="33">
        <v>100</v>
      </c>
      <c r="AF28" s="24">
        <f t="shared" si="4"/>
        <v>711</v>
      </c>
      <c r="AG28" s="33">
        <f t="shared" si="5"/>
        <v>88.875</v>
      </c>
      <c r="AH28" s="24">
        <f t="shared" si="6"/>
        <v>1930</v>
      </c>
      <c r="AI28" s="33">
        <f t="shared" si="7"/>
        <v>83.535714285714292</v>
      </c>
      <c r="AJ28" s="38">
        <v>1</v>
      </c>
      <c r="AK28" s="24" t="s">
        <v>11</v>
      </c>
      <c r="AL28" s="39"/>
    </row>
    <row r="29" spans="1:38" s="11" customFormat="1" ht="49.95" customHeight="1">
      <c r="A29" s="19">
        <v>21</v>
      </c>
      <c r="B29" s="3">
        <v>222308606</v>
      </c>
      <c r="C29" s="4" t="s">
        <v>49</v>
      </c>
      <c r="D29" s="5" t="s">
        <v>50</v>
      </c>
      <c r="E29" s="24">
        <v>46</v>
      </c>
      <c r="F29" s="24">
        <v>45</v>
      </c>
      <c r="G29" s="24">
        <v>80</v>
      </c>
      <c r="H29" s="24">
        <v>46</v>
      </c>
      <c r="I29" s="24">
        <v>25</v>
      </c>
      <c r="J29" s="24">
        <v>50</v>
      </c>
      <c r="K29" s="24">
        <v>55</v>
      </c>
      <c r="L29" s="24">
        <f t="shared" si="0"/>
        <v>347</v>
      </c>
      <c r="M29" s="33">
        <f t="shared" si="1"/>
        <v>49.571428571428569</v>
      </c>
      <c r="N29" s="24">
        <v>61</v>
      </c>
      <c r="O29" s="24">
        <v>49</v>
      </c>
      <c r="P29" s="24">
        <v>32</v>
      </c>
      <c r="Q29" s="24">
        <v>50</v>
      </c>
      <c r="R29" s="24">
        <v>22</v>
      </c>
      <c r="S29" s="24">
        <v>68</v>
      </c>
      <c r="T29" s="24">
        <v>70</v>
      </c>
      <c r="U29" s="24">
        <v>85</v>
      </c>
      <c r="V29" s="24">
        <f t="shared" si="2"/>
        <v>437</v>
      </c>
      <c r="W29" s="33">
        <f t="shared" si="3"/>
        <v>54.625</v>
      </c>
      <c r="X29" s="24">
        <v>62</v>
      </c>
      <c r="Y29" s="24">
        <v>53</v>
      </c>
      <c r="Z29" s="33">
        <v>70</v>
      </c>
      <c r="AA29" s="33">
        <v>24</v>
      </c>
      <c r="AB29" s="33">
        <v>64</v>
      </c>
      <c r="AC29" s="33">
        <v>75</v>
      </c>
      <c r="AD29" s="33">
        <v>65</v>
      </c>
      <c r="AE29" s="33">
        <v>88</v>
      </c>
      <c r="AF29" s="24">
        <f t="shared" si="4"/>
        <v>501</v>
      </c>
      <c r="AG29" s="33">
        <f t="shared" si="5"/>
        <v>62.625</v>
      </c>
      <c r="AH29" s="24">
        <f t="shared" si="6"/>
        <v>1285</v>
      </c>
      <c r="AI29" s="33">
        <f t="shared" si="7"/>
        <v>55.607142857142854</v>
      </c>
      <c r="AJ29" s="38"/>
      <c r="AK29" s="24">
        <v>3</v>
      </c>
      <c r="AL29" s="39"/>
    </row>
    <row r="30" spans="1:38" s="11" customFormat="1" ht="49.95" customHeight="1">
      <c r="A30" s="19">
        <v>22</v>
      </c>
      <c r="B30" s="3">
        <v>222308608</v>
      </c>
      <c r="C30" s="4" t="s">
        <v>51</v>
      </c>
      <c r="D30" s="5" t="s">
        <v>52</v>
      </c>
      <c r="E30" s="24">
        <v>76</v>
      </c>
      <c r="F30" s="24">
        <v>52</v>
      </c>
      <c r="G30" s="24">
        <v>100</v>
      </c>
      <c r="H30" s="24">
        <v>75</v>
      </c>
      <c r="I30" s="24">
        <v>73</v>
      </c>
      <c r="J30" s="24">
        <v>73</v>
      </c>
      <c r="K30" s="24">
        <v>82</v>
      </c>
      <c r="L30" s="24">
        <f t="shared" si="0"/>
        <v>531</v>
      </c>
      <c r="M30" s="33">
        <f t="shared" si="1"/>
        <v>75.857142857142861</v>
      </c>
      <c r="N30" s="30">
        <v>62</v>
      </c>
      <c r="O30" s="30">
        <v>53</v>
      </c>
      <c r="P30" s="30">
        <v>100</v>
      </c>
      <c r="Q30" s="30">
        <v>74</v>
      </c>
      <c r="R30" s="30">
        <v>91</v>
      </c>
      <c r="S30" s="30">
        <v>70</v>
      </c>
      <c r="T30" s="30">
        <v>77</v>
      </c>
      <c r="U30" s="30">
        <v>89</v>
      </c>
      <c r="V30" s="24">
        <f t="shared" si="2"/>
        <v>616</v>
      </c>
      <c r="W30" s="33">
        <f t="shared" si="3"/>
        <v>77</v>
      </c>
      <c r="X30" s="24">
        <v>80</v>
      </c>
      <c r="Y30" s="24">
        <v>56</v>
      </c>
      <c r="Z30" s="33">
        <v>100</v>
      </c>
      <c r="AA30" s="33">
        <v>72</v>
      </c>
      <c r="AB30" s="33">
        <v>77</v>
      </c>
      <c r="AC30" s="33">
        <v>100</v>
      </c>
      <c r="AD30" s="33">
        <v>92</v>
      </c>
      <c r="AE30" s="33">
        <v>100</v>
      </c>
      <c r="AF30" s="24">
        <f t="shared" si="4"/>
        <v>677</v>
      </c>
      <c r="AG30" s="33">
        <f t="shared" si="5"/>
        <v>84.625</v>
      </c>
      <c r="AH30" s="24">
        <f t="shared" si="6"/>
        <v>1824</v>
      </c>
      <c r="AI30" s="33">
        <f t="shared" si="7"/>
        <v>79.160714285714292</v>
      </c>
      <c r="AJ30" s="38">
        <v>3</v>
      </c>
      <c r="AK30" s="24" t="s">
        <v>11</v>
      </c>
      <c r="AL30" s="39"/>
    </row>
    <row r="31" spans="1:38" s="11" customFormat="1" ht="49.95" customHeight="1">
      <c r="A31" s="19">
        <v>23</v>
      </c>
      <c r="B31" s="3">
        <v>222308609</v>
      </c>
      <c r="C31" s="4" t="s">
        <v>53</v>
      </c>
      <c r="D31" s="5" t="s">
        <v>54</v>
      </c>
      <c r="E31" s="24">
        <v>46</v>
      </c>
      <c r="F31" s="24">
        <v>49</v>
      </c>
      <c r="G31" s="24">
        <v>70</v>
      </c>
      <c r="H31" s="24">
        <v>50</v>
      </c>
      <c r="I31" s="24">
        <v>45</v>
      </c>
      <c r="J31" s="24">
        <v>53</v>
      </c>
      <c r="K31" s="24">
        <v>57</v>
      </c>
      <c r="L31" s="24">
        <f t="shared" si="0"/>
        <v>370</v>
      </c>
      <c r="M31" s="33">
        <f t="shared" si="1"/>
        <v>52.857142857142854</v>
      </c>
      <c r="N31" s="24">
        <v>45</v>
      </c>
      <c r="O31" s="24">
        <v>49</v>
      </c>
      <c r="P31" s="24">
        <v>70</v>
      </c>
      <c r="Q31" s="24">
        <v>49</v>
      </c>
      <c r="R31" s="24">
        <v>47</v>
      </c>
      <c r="S31" s="24">
        <v>68</v>
      </c>
      <c r="T31" s="24">
        <v>68</v>
      </c>
      <c r="U31" s="24">
        <v>85</v>
      </c>
      <c r="V31" s="24">
        <f t="shared" si="2"/>
        <v>481</v>
      </c>
      <c r="W31" s="33">
        <f t="shared" si="3"/>
        <v>60.125</v>
      </c>
      <c r="X31" s="24">
        <v>71</v>
      </c>
      <c r="Y31" s="24">
        <v>53</v>
      </c>
      <c r="Z31" s="33">
        <v>80</v>
      </c>
      <c r="AA31" s="33">
        <v>54</v>
      </c>
      <c r="AB31" s="33">
        <v>43</v>
      </c>
      <c r="AC31" s="33">
        <v>60</v>
      </c>
      <c r="AD31" s="33">
        <v>81</v>
      </c>
      <c r="AE31" s="33">
        <v>94</v>
      </c>
      <c r="AF31" s="24">
        <f t="shared" si="4"/>
        <v>536</v>
      </c>
      <c r="AG31" s="33">
        <f t="shared" si="5"/>
        <v>67</v>
      </c>
      <c r="AH31" s="24">
        <f t="shared" si="6"/>
        <v>1387</v>
      </c>
      <c r="AI31" s="33">
        <f t="shared" si="7"/>
        <v>59.99404761904762</v>
      </c>
      <c r="AJ31" s="38">
        <v>19</v>
      </c>
      <c r="AK31" s="24" t="s">
        <v>11</v>
      </c>
      <c r="AL31" s="39"/>
    </row>
    <row r="32" spans="1:38" s="11" customFormat="1" ht="49.95" customHeight="1">
      <c r="A32" s="19">
        <v>24</v>
      </c>
      <c r="B32" s="3">
        <v>222308610</v>
      </c>
      <c r="C32" s="4" t="s">
        <v>55</v>
      </c>
      <c r="D32" s="5" t="s">
        <v>56</v>
      </c>
      <c r="E32" s="24">
        <v>46</v>
      </c>
      <c r="F32" s="24">
        <v>60</v>
      </c>
      <c r="G32" s="24">
        <v>89</v>
      </c>
      <c r="H32" s="24">
        <v>47</v>
      </c>
      <c r="I32" s="24">
        <v>47</v>
      </c>
      <c r="J32" s="24">
        <v>51</v>
      </c>
      <c r="K32" s="24">
        <v>61</v>
      </c>
      <c r="L32" s="24">
        <f t="shared" si="0"/>
        <v>401</v>
      </c>
      <c r="M32" s="33">
        <f t="shared" si="1"/>
        <v>57.285714285714285</v>
      </c>
      <c r="N32" s="24">
        <v>55</v>
      </c>
      <c r="O32" s="24">
        <v>53</v>
      </c>
      <c r="P32" s="24">
        <v>85</v>
      </c>
      <c r="Q32" s="24">
        <v>60</v>
      </c>
      <c r="R32" s="24">
        <v>49</v>
      </c>
      <c r="S32" s="24">
        <v>67</v>
      </c>
      <c r="T32" s="24">
        <v>80</v>
      </c>
      <c r="U32" s="24">
        <v>79</v>
      </c>
      <c r="V32" s="24">
        <f t="shared" si="2"/>
        <v>528</v>
      </c>
      <c r="W32" s="33">
        <f t="shared" si="3"/>
        <v>66</v>
      </c>
      <c r="X32" s="24">
        <v>65</v>
      </c>
      <c r="Y32" s="24">
        <v>54</v>
      </c>
      <c r="Z32" s="33">
        <v>85</v>
      </c>
      <c r="AA32" s="33">
        <v>49</v>
      </c>
      <c r="AB32" s="33">
        <v>65</v>
      </c>
      <c r="AC32" s="33">
        <v>100</v>
      </c>
      <c r="AD32" s="33">
        <v>75</v>
      </c>
      <c r="AE32" s="33">
        <v>97</v>
      </c>
      <c r="AF32" s="24">
        <f t="shared" si="4"/>
        <v>590</v>
      </c>
      <c r="AG32" s="33">
        <f t="shared" si="5"/>
        <v>73.75</v>
      </c>
      <c r="AH32" s="24">
        <f t="shared" si="6"/>
        <v>1519</v>
      </c>
      <c r="AI32" s="33">
        <f t="shared" si="7"/>
        <v>65.678571428571431</v>
      </c>
      <c r="AJ32" s="38">
        <v>15</v>
      </c>
      <c r="AK32" s="24" t="s">
        <v>11</v>
      </c>
      <c r="AL32" s="39"/>
    </row>
    <row r="33" spans="1:38" s="11" customFormat="1" ht="49.95" customHeight="1">
      <c r="A33" s="19">
        <v>25</v>
      </c>
      <c r="B33" s="3">
        <v>222308613</v>
      </c>
      <c r="C33" s="4" t="s">
        <v>57</v>
      </c>
      <c r="D33" s="5" t="s">
        <v>58</v>
      </c>
      <c r="E33" s="24">
        <v>45</v>
      </c>
      <c r="F33" s="24">
        <v>33</v>
      </c>
      <c r="G33" s="24">
        <v>88</v>
      </c>
      <c r="H33" s="24">
        <v>20</v>
      </c>
      <c r="I33" s="24">
        <v>15</v>
      </c>
      <c r="J33" s="24">
        <v>46</v>
      </c>
      <c r="K33" s="24">
        <v>48</v>
      </c>
      <c r="L33" s="24">
        <f t="shared" si="0"/>
        <v>295</v>
      </c>
      <c r="M33" s="33">
        <f t="shared" si="1"/>
        <v>42.142857142857146</v>
      </c>
      <c r="N33" s="24">
        <v>47</v>
      </c>
      <c r="O33" s="24">
        <v>49</v>
      </c>
      <c r="P33" s="24">
        <v>80</v>
      </c>
      <c r="Q33" s="24">
        <v>31</v>
      </c>
      <c r="R33" s="24">
        <v>49</v>
      </c>
      <c r="S33" s="24">
        <v>68</v>
      </c>
      <c r="T33" s="24">
        <v>50</v>
      </c>
      <c r="U33" s="24">
        <v>79</v>
      </c>
      <c r="V33" s="24">
        <f t="shared" si="2"/>
        <v>453</v>
      </c>
      <c r="W33" s="33">
        <f t="shared" si="3"/>
        <v>56.625</v>
      </c>
      <c r="X33" s="24">
        <v>38</v>
      </c>
      <c r="Y33" s="24">
        <v>26</v>
      </c>
      <c r="Z33" s="33">
        <v>60</v>
      </c>
      <c r="AA33" s="33">
        <v>18</v>
      </c>
      <c r="AB33" s="33">
        <v>23</v>
      </c>
      <c r="AC33" s="33">
        <v>75</v>
      </c>
      <c r="AD33" s="33">
        <v>63</v>
      </c>
      <c r="AE33" s="33">
        <v>89</v>
      </c>
      <c r="AF33" s="24">
        <f t="shared" si="4"/>
        <v>392</v>
      </c>
      <c r="AG33" s="33">
        <f t="shared" si="5"/>
        <v>49</v>
      </c>
      <c r="AH33" s="24">
        <f t="shared" si="6"/>
        <v>1140</v>
      </c>
      <c r="AI33" s="33">
        <f t="shared" si="7"/>
        <v>49.25595238095238</v>
      </c>
      <c r="AJ33" s="38"/>
      <c r="AK33" s="24">
        <v>7</v>
      </c>
      <c r="AL33" s="39"/>
    </row>
    <row r="34" spans="1:38" s="11" customFormat="1" ht="49.95" customHeight="1">
      <c r="A34" s="19">
        <v>26</v>
      </c>
      <c r="B34" s="3">
        <v>222308621</v>
      </c>
      <c r="C34" s="4" t="s">
        <v>59</v>
      </c>
      <c r="D34" s="5" t="s">
        <v>60</v>
      </c>
      <c r="E34" s="24">
        <v>52</v>
      </c>
      <c r="F34" s="24">
        <v>49</v>
      </c>
      <c r="G34" s="24">
        <v>57</v>
      </c>
      <c r="H34" s="24">
        <v>46</v>
      </c>
      <c r="I34" s="24">
        <v>43</v>
      </c>
      <c r="J34" s="24">
        <v>60</v>
      </c>
      <c r="K34" s="24">
        <v>62</v>
      </c>
      <c r="L34" s="24">
        <f t="shared" si="0"/>
        <v>369</v>
      </c>
      <c r="M34" s="33">
        <f t="shared" si="1"/>
        <v>52.714285714285715</v>
      </c>
      <c r="N34" s="24">
        <v>49</v>
      </c>
      <c r="O34" s="24">
        <v>46</v>
      </c>
      <c r="P34" s="24">
        <v>75</v>
      </c>
      <c r="Q34" s="24">
        <v>20</v>
      </c>
      <c r="R34" s="24">
        <v>21</v>
      </c>
      <c r="S34" s="24">
        <v>68</v>
      </c>
      <c r="T34" s="24">
        <v>55</v>
      </c>
      <c r="U34" s="24">
        <v>76</v>
      </c>
      <c r="V34" s="24">
        <f t="shared" si="2"/>
        <v>410</v>
      </c>
      <c r="W34" s="33">
        <f t="shared" si="3"/>
        <v>51.25</v>
      </c>
      <c r="X34" s="24">
        <v>48</v>
      </c>
      <c r="Y34" s="24">
        <v>51</v>
      </c>
      <c r="Z34" s="33">
        <v>55</v>
      </c>
      <c r="AA34" s="33">
        <v>64</v>
      </c>
      <c r="AB34" s="33">
        <v>60</v>
      </c>
      <c r="AC34" s="33">
        <v>75</v>
      </c>
      <c r="AD34" s="33">
        <v>58</v>
      </c>
      <c r="AE34" s="33">
        <v>88</v>
      </c>
      <c r="AF34" s="24">
        <f t="shared" si="4"/>
        <v>499</v>
      </c>
      <c r="AG34" s="33">
        <f t="shared" si="5"/>
        <v>62.375</v>
      </c>
      <c r="AH34" s="24">
        <f t="shared" si="6"/>
        <v>1278</v>
      </c>
      <c r="AI34" s="33">
        <f t="shared" si="7"/>
        <v>55.446428571428577</v>
      </c>
      <c r="AJ34" s="38"/>
      <c r="AK34" s="24">
        <v>2</v>
      </c>
      <c r="AL34" s="39"/>
    </row>
    <row r="35" spans="1:38" s="11" customFormat="1" ht="49.95" customHeight="1">
      <c r="A35" s="19">
        <v>27</v>
      </c>
      <c r="B35" s="3">
        <v>222308622</v>
      </c>
      <c r="C35" s="4" t="s">
        <v>61</v>
      </c>
      <c r="D35" s="5" t="s">
        <v>62</v>
      </c>
      <c r="E35" s="24">
        <v>61</v>
      </c>
      <c r="F35" s="24">
        <v>58</v>
      </c>
      <c r="G35" s="24">
        <v>94</v>
      </c>
      <c r="H35" s="24">
        <v>74</v>
      </c>
      <c r="I35" s="24">
        <v>61</v>
      </c>
      <c r="J35" s="24">
        <v>68</v>
      </c>
      <c r="K35" s="24">
        <v>67</v>
      </c>
      <c r="L35" s="24">
        <f t="shared" si="0"/>
        <v>483</v>
      </c>
      <c r="M35" s="33">
        <f t="shared" si="1"/>
        <v>69</v>
      </c>
      <c r="N35" s="24">
        <v>57</v>
      </c>
      <c r="O35" s="24">
        <v>52</v>
      </c>
      <c r="P35" s="24">
        <v>95</v>
      </c>
      <c r="Q35" s="24">
        <v>56</v>
      </c>
      <c r="R35" s="24">
        <v>44</v>
      </c>
      <c r="S35" s="24">
        <v>75</v>
      </c>
      <c r="T35" s="24">
        <v>55</v>
      </c>
      <c r="U35" s="24">
        <v>90</v>
      </c>
      <c r="V35" s="24">
        <f t="shared" si="2"/>
        <v>524</v>
      </c>
      <c r="W35" s="33">
        <f t="shared" si="3"/>
        <v>65.5</v>
      </c>
      <c r="X35" s="24">
        <v>57</v>
      </c>
      <c r="Y35" s="24">
        <v>58</v>
      </c>
      <c r="Z35" s="33">
        <v>55</v>
      </c>
      <c r="AA35" s="33">
        <v>60</v>
      </c>
      <c r="AB35" s="33">
        <v>94</v>
      </c>
      <c r="AC35" s="33">
        <v>75</v>
      </c>
      <c r="AD35" s="33">
        <v>59</v>
      </c>
      <c r="AE35" s="33">
        <v>90</v>
      </c>
      <c r="AF35" s="24">
        <f t="shared" si="4"/>
        <v>548</v>
      </c>
      <c r="AG35" s="33">
        <f t="shared" si="5"/>
        <v>68.5</v>
      </c>
      <c r="AH35" s="24">
        <f t="shared" si="6"/>
        <v>1555</v>
      </c>
      <c r="AI35" s="33">
        <f t="shared" si="7"/>
        <v>67.666666666666671</v>
      </c>
      <c r="AJ35" s="38">
        <v>13</v>
      </c>
      <c r="AK35" s="24" t="s">
        <v>11</v>
      </c>
      <c r="AL35" s="39"/>
    </row>
    <row r="36" spans="1:38" s="11" customFormat="1" ht="49.95" customHeight="1">
      <c r="A36" s="19">
        <v>28</v>
      </c>
      <c r="B36" s="3">
        <v>222308623</v>
      </c>
      <c r="C36" s="4" t="s">
        <v>63</v>
      </c>
      <c r="D36" s="5" t="s">
        <v>64</v>
      </c>
      <c r="E36" s="24">
        <v>57</v>
      </c>
      <c r="F36" s="24">
        <v>54</v>
      </c>
      <c r="G36" s="24">
        <v>55</v>
      </c>
      <c r="H36" s="24">
        <v>53</v>
      </c>
      <c r="I36" s="24">
        <v>51</v>
      </c>
      <c r="J36" s="24">
        <v>63</v>
      </c>
      <c r="K36" s="24">
        <v>52</v>
      </c>
      <c r="L36" s="24">
        <f t="shared" si="0"/>
        <v>385</v>
      </c>
      <c r="M36" s="33">
        <f t="shared" si="1"/>
        <v>55</v>
      </c>
      <c r="N36" s="24">
        <v>56</v>
      </c>
      <c r="O36" s="24">
        <v>59</v>
      </c>
      <c r="P36" s="24">
        <v>60</v>
      </c>
      <c r="Q36" s="24">
        <v>63</v>
      </c>
      <c r="R36" s="24">
        <v>57</v>
      </c>
      <c r="S36" s="24">
        <v>67</v>
      </c>
      <c r="T36" s="24">
        <v>55</v>
      </c>
      <c r="U36" s="24">
        <v>83</v>
      </c>
      <c r="V36" s="24">
        <f t="shared" si="2"/>
        <v>500</v>
      </c>
      <c r="W36" s="33">
        <f t="shared" si="3"/>
        <v>62.5</v>
      </c>
      <c r="X36" s="24">
        <v>50</v>
      </c>
      <c r="Y36" s="24">
        <v>62</v>
      </c>
      <c r="Z36" s="33">
        <v>70</v>
      </c>
      <c r="AA36" s="33">
        <v>58</v>
      </c>
      <c r="AB36" s="33">
        <v>74</v>
      </c>
      <c r="AC36" s="33">
        <v>58</v>
      </c>
      <c r="AD36" s="33">
        <v>77</v>
      </c>
      <c r="AE36" s="33">
        <v>93</v>
      </c>
      <c r="AF36" s="24">
        <f t="shared" si="4"/>
        <v>542</v>
      </c>
      <c r="AG36" s="33">
        <f t="shared" si="5"/>
        <v>67.75</v>
      </c>
      <c r="AH36" s="24">
        <f t="shared" si="6"/>
        <v>1427</v>
      </c>
      <c r="AI36" s="33">
        <f t="shared" si="7"/>
        <v>61.75</v>
      </c>
      <c r="AJ36" s="38">
        <v>18</v>
      </c>
      <c r="AK36" s="24" t="s">
        <v>11</v>
      </c>
      <c r="AL36" s="39"/>
    </row>
    <row r="37" spans="1:38" s="11" customFormat="1" ht="49.95" customHeight="1">
      <c r="A37" s="19">
        <v>29</v>
      </c>
      <c r="B37" s="3">
        <v>222308624</v>
      </c>
      <c r="C37" s="4" t="s">
        <v>65</v>
      </c>
      <c r="D37" s="5" t="s">
        <v>66</v>
      </c>
      <c r="E37" s="30">
        <v>51</v>
      </c>
      <c r="F37" s="24">
        <v>54</v>
      </c>
      <c r="G37" s="24">
        <v>85</v>
      </c>
      <c r="H37" s="24">
        <v>56</v>
      </c>
      <c r="I37" s="24">
        <v>49</v>
      </c>
      <c r="J37" s="24">
        <v>51</v>
      </c>
      <c r="K37" s="24">
        <v>58</v>
      </c>
      <c r="L37" s="24">
        <f t="shared" si="0"/>
        <v>404</v>
      </c>
      <c r="M37" s="33">
        <f t="shared" si="1"/>
        <v>57.714285714285715</v>
      </c>
      <c r="N37" s="24">
        <v>42</v>
      </c>
      <c r="O37" s="24">
        <v>58</v>
      </c>
      <c r="P37" s="24">
        <v>60</v>
      </c>
      <c r="Q37" s="24">
        <v>51</v>
      </c>
      <c r="R37" s="24">
        <v>48</v>
      </c>
      <c r="S37" s="24">
        <v>68</v>
      </c>
      <c r="T37" s="24">
        <v>55</v>
      </c>
      <c r="U37" s="24">
        <v>86</v>
      </c>
      <c r="V37" s="24">
        <f t="shared" si="2"/>
        <v>468</v>
      </c>
      <c r="W37" s="33">
        <f t="shared" si="3"/>
        <v>58.5</v>
      </c>
      <c r="X37" s="24">
        <v>54</v>
      </c>
      <c r="Y37" s="24">
        <v>53</v>
      </c>
      <c r="Z37" s="33">
        <v>60</v>
      </c>
      <c r="AA37" s="33">
        <v>59</v>
      </c>
      <c r="AB37" s="33">
        <v>68</v>
      </c>
      <c r="AC37" s="33">
        <v>60</v>
      </c>
      <c r="AD37" s="33">
        <v>61</v>
      </c>
      <c r="AE37" s="33">
        <v>88</v>
      </c>
      <c r="AF37" s="24">
        <f t="shared" si="4"/>
        <v>503</v>
      </c>
      <c r="AG37" s="33">
        <f t="shared" si="5"/>
        <v>62.875</v>
      </c>
      <c r="AH37" s="24">
        <f t="shared" si="6"/>
        <v>1375</v>
      </c>
      <c r="AI37" s="33">
        <f t="shared" si="7"/>
        <v>59.696428571428577</v>
      </c>
      <c r="AJ37" s="38">
        <v>21</v>
      </c>
      <c r="AK37" s="24" t="s">
        <v>11</v>
      </c>
      <c r="AL37" s="39"/>
    </row>
    <row r="38" spans="1:38" s="11" customFormat="1" ht="49.95" customHeight="1">
      <c r="A38" s="19">
        <v>30</v>
      </c>
      <c r="B38" s="3">
        <v>222308627</v>
      </c>
      <c r="C38" s="4" t="s">
        <v>67</v>
      </c>
      <c r="D38" s="5" t="s">
        <v>68</v>
      </c>
      <c r="E38" s="24">
        <v>62</v>
      </c>
      <c r="F38" s="24">
        <v>53</v>
      </c>
      <c r="G38" s="24">
        <v>89</v>
      </c>
      <c r="H38" s="24">
        <v>73</v>
      </c>
      <c r="I38" s="24">
        <v>60</v>
      </c>
      <c r="J38" s="24">
        <v>81</v>
      </c>
      <c r="K38" s="24">
        <v>71</v>
      </c>
      <c r="L38" s="24">
        <f t="shared" si="0"/>
        <v>489</v>
      </c>
      <c r="M38" s="33">
        <f t="shared" si="1"/>
        <v>69.857142857142861</v>
      </c>
      <c r="N38" s="24">
        <v>74</v>
      </c>
      <c r="O38" s="24">
        <v>63</v>
      </c>
      <c r="P38" s="24">
        <v>85</v>
      </c>
      <c r="Q38" s="24">
        <v>82</v>
      </c>
      <c r="R38" s="24">
        <v>62</v>
      </c>
      <c r="S38" s="24">
        <v>66</v>
      </c>
      <c r="T38" s="24">
        <v>59</v>
      </c>
      <c r="U38" s="24">
        <v>90</v>
      </c>
      <c r="V38" s="24">
        <f t="shared" si="2"/>
        <v>581</v>
      </c>
      <c r="W38" s="33">
        <f t="shared" si="3"/>
        <v>72.625</v>
      </c>
      <c r="X38" s="24">
        <v>54</v>
      </c>
      <c r="Y38" s="24">
        <v>60</v>
      </c>
      <c r="Z38" s="33">
        <v>100</v>
      </c>
      <c r="AA38" s="33">
        <v>57</v>
      </c>
      <c r="AB38" s="33">
        <v>54</v>
      </c>
      <c r="AC38" s="33">
        <v>100</v>
      </c>
      <c r="AD38" s="33">
        <v>92</v>
      </c>
      <c r="AE38" s="33">
        <v>97</v>
      </c>
      <c r="AF38" s="24">
        <f t="shared" si="4"/>
        <v>614</v>
      </c>
      <c r="AG38" s="33">
        <f t="shared" si="5"/>
        <v>76.75</v>
      </c>
      <c r="AH38" s="24">
        <f t="shared" si="6"/>
        <v>1684</v>
      </c>
      <c r="AI38" s="33">
        <f t="shared" si="7"/>
        <v>73.077380952380949</v>
      </c>
      <c r="AJ38" s="38">
        <v>7</v>
      </c>
      <c r="AK38" s="24" t="s">
        <v>11</v>
      </c>
      <c r="AL38" s="39"/>
    </row>
    <row r="39" spans="1:38" s="11" customFormat="1" ht="49.95" customHeight="1">
      <c r="A39" s="19">
        <v>31</v>
      </c>
      <c r="B39" s="3">
        <v>222308631</v>
      </c>
      <c r="C39" s="4" t="s">
        <v>69</v>
      </c>
      <c r="D39" s="5" t="s">
        <v>70</v>
      </c>
      <c r="E39" s="24">
        <v>60</v>
      </c>
      <c r="F39" s="24">
        <v>47</v>
      </c>
      <c r="G39" s="24">
        <v>55</v>
      </c>
      <c r="H39" s="24">
        <v>17</v>
      </c>
      <c r="I39" s="24">
        <v>17</v>
      </c>
      <c r="J39" s="24">
        <v>51</v>
      </c>
      <c r="K39" s="24">
        <v>50</v>
      </c>
      <c r="L39" s="24">
        <f t="shared" si="0"/>
        <v>297</v>
      </c>
      <c r="M39" s="33">
        <f t="shared" si="1"/>
        <v>42.428571428571431</v>
      </c>
      <c r="N39" s="24">
        <v>41</v>
      </c>
      <c r="O39" s="24">
        <v>48</v>
      </c>
      <c r="P39" s="24">
        <v>63</v>
      </c>
      <c r="Q39" s="24">
        <v>14</v>
      </c>
      <c r="R39" s="24">
        <v>21</v>
      </c>
      <c r="S39" s="24">
        <v>76</v>
      </c>
      <c r="T39" s="24">
        <v>40</v>
      </c>
      <c r="U39" s="24">
        <v>78</v>
      </c>
      <c r="V39" s="24">
        <f t="shared" si="2"/>
        <v>381</v>
      </c>
      <c r="W39" s="33">
        <f t="shared" si="3"/>
        <v>47.625</v>
      </c>
      <c r="X39" s="24">
        <v>37</v>
      </c>
      <c r="Y39" s="24">
        <v>47</v>
      </c>
      <c r="Z39" s="33">
        <v>60</v>
      </c>
      <c r="AA39" s="33">
        <v>14</v>
      </c>
      <c r="AB39" s="33">
        <v>16</v>
      </c>
      <c r="AC39" s="33">
        <v>60</v>
      </c>
      <c r="AD39" s="33">
        <v>61</v>
      </c>
      <c r="AE39" s="33">
        <v>86</v>
      </c>
      <c r="AF39" s="24">
        <f t="shared" si="4"/>
        <v>381</v>
      </c>
      <c r="AG39" s="33">
        <f t="shared" si="5"/>
        <v>47.625</v>
      </c>
      <c r="AH39" s="24">
        <f t="shared" si="6"/>
        <v>1059</v>
      </c>
      <c r="AI39" s="33">
        <f t="shared" si="7"/>
        <v>45.892857142857146</v>
      </c>
      <c r="AJ39" s="38"/>
      <c r="AK39" s="24">
        <v>7</v>
      </c>
      <c r="AL39" s="39"/>
    </row>
    <row r="40" spans="1:38" s="11" customFormat="1" ht="49.95" customHeight="1">
      <c r="A40" s="19">
        <v>32</v>
      </c>
      <c r="B40" s="3">
        <v>222308635</v>
      </c>
      <c r="C40" s="4" t="s">
        <v>71</v>
      </c>
      <c r="D40" s="5" t="s">
        <v>72</v>
      </c>
      <c r="E40" s="24">
        <v>35</v>
      </c>
      <c r="F40" s="24">
        <v>63</v>
      </c>
      <c r="G40" s="24">
        <v>55</v>
      </c>
      <c r="H40" s="24">
        <v>60</v>
      </c>
      <c r="I40" s="24">
        <v>55</v>
      </c>
      <c r="J40" s="24">
        <v>62</v>
      </c>
      <c r="K40" s="24">
        <v>60</v>
      </c>
      <c r="L40" s="24">
        <f t="shared" si="0"/>
        <v>390</v>
      </c>
      <c r="M40" s="33">
        <f t="shared" si="1"/>
        <v>55.714285714285715</v>
      </c>
      <c r="N40" s="24">
        <v>51</v>
      </c>
      <c r="O40" s="24">
        <v>50</v>
      </c>
      <c r="P40" s="24">
        <v>60</v>
      </c>
      <c r="Q40" s="24">
        <v>54</v>
      </c>
      <c r="R40" s="24">
        <v>56</v>
      </c>
      <c r="S40" s="24">
        <v>69</v>
      </c>
      <c r="T40" s="24">
        <v>67</v>
      </c>
      <c r="U40" s="24">
        <v>83</v>
      </c>
      <c r="V40" s="24">
        <f t="shared" si="2"/>
        <v>490</v>
      </c>
      <c r="W40" s="33">
        <f t="shared" si="3"/>
        <v>61.25</v>
      </c>
      <c r="X40" s="24">
        <v>73</v>
      </c>
      <c r="Y40" s="24">
        <v>54</v>
      </c>
      <c r="Z40" s="33">
        <v>65</v>
      </c>
      <c r="AA40" s="33">
        <v>59</v>
      </c>
      <c r="AB40" s="33">
        <v>66</v>
      </c>
      <c r="AC40" s="33">
        <v>65</v>
      </c>
      <c r="AD40" s="33">
        <v>75</v>
      </c>
      <c r="AE40" s="33">
        <v>90</v>
      </c>
      <c r="AF40" s="24">
        <f t="shared" si="4"/>
        <v>547</v>
      </c>
      <c r="AG40" s="33">
        <f t="shared" si="5"/>
        <v>68.375</v>
      </c>
      <c r="AH40" s="24">
        <f t="shared" si="6"/>
        <v>1427</v>
      </c>
      <c r="AI40" s="33">
        <f t="shared" si="7"/>
        <v>61.779761904761905</v>
      </c>
      <c r="AJ40" s="38">
        <v>17</v>
      </c>
      <c r="AK40" s="24" t="s">
        <v>11</v>
      </c>
      <c r="AL40" s="39"/>
    </row>
    <row r="41" spans="1:38" s="12" customFormat="1" ht="49.95" customHeight="1">
      <c r="A41" s="25">
        <v>33</v>
      </c>
      <c r="B41" s="26">
        <v>222308636</v>
      </c>
      <c r="C41" s="27" t="s">
        <v>73</v>
      </c>
      <c r="D41" s="28" t="s">
        <v>74</v>
      </c>
      <c r="E41" s="29">
        <v>27</v>
      </c>
      <c r="F41" s="29">
        <v>58</v>
      </c>
      <c r="G41" s="29">
        <v>60</v>
      </c>
      <c r="H41" s="29">
        <v>62</v>
      </c>
      <c r="I41" s="29">
        <v>18</v>
      </c>
      <c r="J41" s="29">
        <v>74</v>
      </c>
      <c r="K41" s="29">
        <v>53</v>
      </c>
      <c r="L41" s="29">
        <f t="shared" si="0"/>
        <v>352</v>
      </c>
      <c r="M41" s="34">
        <f t="shared" si="1"/>
        <v>50.285714285714285</v>
      </c>
      <c r="N41" s="29">
        <v>68</v>
      </c>
      <c r="O41" s="29">
        <v>49</v>
      </c>
      <c r="P41" s="29">
        <v>75</v>
      </c>
      <c r="Q41" s="29">
        <v>46</v>
      </c>
      <c r="R41" s="29">
        <v>50</v>
      </c>
      <c r="S41" s="29">
        <v>70</v>
      </c>
      <c r="T41" s="29">
        <v>80</v>
      </c>
      <c r="U41" s="29">
        <v>79</v>
      </c>
      <c r="V41" s="29">
        <f t="shared" si="2"/>
        <v>517</v>
      </c>
      <c r="W41" s="34">
        <f t="shared" si="3"/>
        <v>64.625</v>
      </c>
      <c r="X41" s="29">
        <v>58</v>
      </c>
      <c r="Y41" s="29">
        <v>55</v>
      </c>
      <c r="Z41" s="34">
        <v>65</v>
      </c>
      <c r="AA41" s="34">
        <v>56</v>
      </c>
      <c r="AB41" s="34">
        <v>64</v>
      </c>
      <c r="AC41" s="34">
        <v>100</v>
      </c>
      <c r="AD41" s="34">
        <v>75</v>
      </c>
      <c r="AE41" s="34">
        <v>88</v>
      </c>
      <c r="AF41" s="29">
        <f t="shared" si="4"/>
        <v>561</v>
      </c>
      <c r="AG41" s="34">
        <f t="shared" si="5"/>
        <v>70.125</v>
      </c>
      <c r="AH41" s="29">
        <f t="shared" si="6"/>
        <v>1430</v>
      </c>
      <c r="AI41" s="34">
        <f t="shared" si="7"/>
        <v>61.678571428571423</v>
      </c>
      <c r="AJ41" s="40"/>
      <c r="AK41" s="24" t="s">
        <v>11</v>
      </c>
      <c r="AL41" s="41"/>
    </row>
    <row r="42" spans="1:38" s="11" customFormat="1" ht="49.95" customHeight="1">
      <c r="A42" s="19">
        <v>34</v>
      </c>
      <c r="B42" s="3">
        <v>222308639</v>
      </c>
      <c r="C42" s="4" t="s">
        <v>75</v>
      </c>
      <c r="D42" s="5" t="s">
        <v>76</v>
      </c>
      <c r="E42" s="24">
        <v>73</v>
      </c>
      <c r="F42" s="24">
        <v>57</v>
      </c>
      <c r="G42" s="24">
        <v>88</v>
      </c>
      <c r="H42" s="24">
        <v>69</v>
      </c>
      <c r="I42" s="24">
        <v>50</v>
      </c>
      <c r="J42" s="24">
        <v>73</v>
      </c>
      <c r="K42" s="24">
        <v>68</v>
      </c>
      <c r="L42" s="24">
        <f t="shared" si="0"/>
        <v>478</v>
      </c>
      <c r="M42" s="33">
        <f t="shared" si="1"/>
        <v>68.285714285714292</v>
      </c>
      <c r="N42" s="24">
        <v>67</v>
      </c>
      <c r="O42" s="24">
        <v>50</v>
      </c>
      <c r="P42" s="24">
        <v>90</v>
      </c>
      <c r="Q42" s="24">
        <v>56</v>
      </c>
      <c r="R42" s="24">
        <v>51</v>
      </c>
      <c r="S42" s="24">
        <v>69</v>
      </c>
      <c r="T42" s="24">
        <v>90</v>
      </c>
      <c r="U42" s="24">
        <v>83</v>
      </c>
      <c r="V42" s="24">
        <f t="shared" si="2"/>
        <v>556</v>
      </c>
      <c r="W42" s="33">
        <f t="shared" si="3"/>
        <v>69.5</v>
      </c>
      <c r="X42" s="24">
        <v>60</v>
      </c>
      <c r="Y42" s="24">
        <v>53</v>
      </c>
      <c r="Z42" s="33">
        <v>70</v>
      </c>
      <c r="AA42" s="33">
        <v>57</v>
      </c>
      <c r="AB42" s="33">
        <v>84</v>
      </c>
      <c r="AC42" s="33">
        <v>100</v>
      </c>
      <c r="AD42" s="33">
        <v>71</v>
      </c>
      <c r="AE42" s="33">
        <v>95</v>
      </c>
      <c r="AF42" s="24">
        <f t="shared" si="4"/>
        <v>590</v>
      </c>
      <c r="AG42" s="33">
        <f t="shared" si="5"/>
        <v>73.75</v>
      </c>
      <c r="AH42" s="24">
        <f t="shared" si="6"/>
        <v>1624</v>
      </c>
      <c r="AI42" s="33">
        <f t="shared" si="7"/>
        <v>70.511904761904759</v>
      </c>
      <c r="AJ42" s="38">
        <v>9</v>
      </c>
      <c r="AK42" s="24" t="s">
        <v>11</v>
      </c>
      <c r="AL42" s="39"/>
    </row>
    <row r="43" spans="1:38" s="11" customFormat="1" ht="49.95" customHeight="1">
      <c r="A43" s="19">
        <v>35</v>
      </c>
      <c r="B43" s="3">
        <v>222308642</v>
      </c>
      <c r="C43" s="4" t="s">
        <v>77</v>
      </c>
      <c r="D43" s="5" t="s">
        <v>78</v>
      </c>
      <c r="E43" s="24">
        <v>73</v>
      </c>
      <c r="F43" s="24">
        <v>66</v>
      </c>
      <c r="G43" s="24">
        <v>58</v>
      </c>
      <c r="H43" s="24">
        <v>79</v>
      </c>
      <c r="I43" s="24">
        <v>20</v>
      </c>
      <c r="J43" s="24">
        <v>75</v>
      </c>
      <c r="K43" s="24">
        <v>76</v>
      </c>
      <c r="L43" s="24">
        <f t="shared" si="0"/>
        <v>447</v>
      </c>
      <c r="M43" s="33">
        <f t="shared" si="1"/>
        <v>63.857142857142854</v>
      </c>
      <c r="N43" s="24">
        <v>72</v>
      </c>
      <c r="O43" s="24">
        <v>58</v>
      </c>
      <c r="P43" s="24">
        <v>80</v>
      </c>
      <c r="Q43" s="24">
        <v>76</v>
      </c>
      <c r="R43" s="24">
        <v>45</v>
      </c>
      <c r="S43" s="24">
        <v>93</v>
      </c>
      <c r="T43" s="24">
        <v>81</v>
      </c>
      <c r="U43" s="24">
        <v>85</v>
      </c>
      <c r="V43" s="24">
        <f t="shared" si="2"/>
        <v>590</v>
      </c>
      <c r="W43" s="33">
        <f t="shared" si="3"/>
        <v>73.75</v>
      </c>
      <c r="X43" s="24">
        <v>73</v>
      </c>
      <c r="Y43" s="24">
        <v>55</v>
      </c>
      <c r="Z43" s="33">
        <v>85</v>
      </c>
      <c r="AA43" s="33">
        <v>55</v>
      </c>
      <c r="AB43" s="33">
        <v>83</v>
      </c>
      <c r="AC43" s="33">
        <v>90</v>
      </c>
      <c r="AD43" s="33">
        <v>84</v>
      </c>
      <c r="AE43" s="33">
        <v>95</v>
      </c>
      <c r="AF43" s="24">
        <f t="shared" si="4"/>
        <v>620</v>
      </c>
      <c r="AG43" s="33">
        <f t="shared" si="5"/>
        <v>77.5</v>
      </c>
      <c r="AH43" s="24">
        <f t="shared" si="6"/>
        <v>1657</v>
      </c>
      <c r="AI43" s="33">
        <f t="shared" si="7"/>
        <v>71.702380952380949</v>
      </c>
      <c r="AJ43" s="38"/>
      <c r="AK43" s="24">
        <v>1</v>
      </c>
      <c r="AL43" s="39"/>
    </row>
    <row r="44" spans="1:38" s="11" customFormat="1" ht="49.95" customHeight="1">
      <c r="A44" s="19">
        <v>36</v>
      </c>
      <c r="B44" s="3">
        <v>222308646</v>
      </c>
      <c r="C44" s="4" t="s">
        <v>79</v>
      </c>
      <c r="D44" s="5" t="s">
        <v>80</v>
      </c>
      <c r="E44" s="24">
        <v>63</v>
      </c>
      <c r="F44" s="24">
        <v>62</v>
      </c>
      <c r="G44" s="24">
        <v>93</v>
      </c>
      <c r="H44" s="24">
        <v>66</v>
      </c>
      <c r="I44" s="24">
        <v>52</v>
      </c>
      <c r="J44" s="24">
        <v>65</v>
      </c>
      <c r="K44" s="24">
        <v>62</v>
      </c>
      <c r="L44" s="24">
        <f t="shared" si="0"/>
        <v>463</v>
      </c>
      <c r="M44" s="33">
        <f t="shared" si="1"/>
        <v>66.142857142857139</v>
      </c>
      <c r="N44" s="24">
        <v>49</v>
      </c>
      <c r="O44" s="24">
        <v>63</v>
      </c>
      <c r="P44" s="24">
        <v>90</v>
      </c>
      <c r="Q44" s="24">
        <v>51</v>
      </c>
      <c r="R44" s="24">
        <v>68</v>
      </c>
      <c r="S44" s="24">
        <v>69</v>
      </c>
      <c r="T44" s="24">
        <v>83</v>
      </c>
      <c r="U44" s="24">
        <v>86</v>
      </c>
      <c r="V44" s="24">
        <f t="shared" si="2"/>
        <v>559</v>
      </c>
      <c r="W44" s="33">
        <f t="shared" si="3"/>
        <v>69.875</v>
      </c>
      <c r="X44" s="24">
        <v>66</v>
      </c>
      <c r="Y44" s="24">
        <v>54</v>
      </c>
      <c r="Z44" s="33">
        <v>85</v>
      </c>
      <c r="AA44" s="33">
        <v>58</v>
      </c>
      <c r="AB44" s="33">
        <v>57</v>
      </c>
      <c r="AC44" s="33">
        <v>100</v>
      </c>
      <c r="AD44" s="33">
        <v>80</v>
      </c>
      <c r="AE44" s="33">
        <v>90</v>
      </c>
      <c r="AF44" s="24">
        <f t="shared" si="4"/>
        <v>590</v>
      </c>
      <c r="AG44" s="33">
        <f t="shared" si="5"/>
        <v>73.75</v>
      </c>
      <c r="AH44" s="24">
        <f t="shared" si="6"/>
        <v>1612</v>
      </c>
      <c r="AI44" s="33">
        <f t="shared" si="7"/>
        <v>69.922619047619051</v>
      </c>
      <c r="AJ44" s="38">
        <v>10</v>
      </c>
      <c r="AK44" s="24" t="s">
        <v>11</v>
      </c>
      <c r="AL44" s="39"/>
    </row>
    <row r="45" spans="1:38" s="12" customFormat="1" ht="49.95" customHeight="1">
      <c r="A45" s="25">
        <v>37</v>
      </c>
      <c r="B45" s="26">
        <v>222308647</v>
      </c>
      <c r="C45" s="27" t="s">
        <v>81</v>
      </c>
      <c r="D45" s="28" t="s">
        <v>82</v>
      </c>
      <c r="E45" s="29">
        <v>76</v>
      </c>
      <c r="F45" s="29">
        <v>60</v>
      </c>
      <c r="G45" s="29">
        <v>85</v>
      </c>
      <c r="H45" s="29">
        <v>74</v>
      </c>
      <c r="I45" s="29">
        <v>47</v>
      </c>
      <c r="J45" s="29">
        <v>59</v>
      </c>
      <c r="K45" s="29">
        <v>70</v>
      </c>
      <c r="L45" s="29">
        <f t="shared" si="0"/>
        <v>471</v>
      </c>
      <c r="M45" s="34">
        <f t="shared" si="1"/>
        <v>67.285714285714292</v>
      </c>
      <c r="N45" s="29">
        <v>55</v>
      </c>
      <c r="O45" s="29">
        <v>66</v>
      </c>
      <c r="P45" s="29">
        <v>90</v>
      </c>
      <c r="Q45" s="29">
        <v>50</v>
      </c>
      <c r="R45" s="29">
        <v>63</v>
      </c>
      <c r="S45" s="29">
        <v>92</v>
      </c>
      <c r="T45" s="29">
        <v>88</v>
      </c>
      <c r="U45" s="29">
        <v>83</v>
      </c>
      <c r="V45" s="29">
        <f t="shared" si="2"/>
        <v>587</v>
      </c>
      <c r="W45" s="34">
        <f t="shared" si="3"/>
        <v>73.375</v>
      </c>
      <c r="X45" s="29">
        <v>88</v>
      </c>
      <c r="Y45" s="29">
        <v>63</v>
      </c>
      <c r="Z45" s="34">
        <v>95</v>
      </c>
      <c r="AA45" s="34">
        <v>80</v>
      </c>
      <c r="AB45" s="34">
        <v>79</v>
      </c>
      <c r="AC45" s="34">
        <v>100</v>
      </c>
      <c r="AD45" s="34">
        <v>98</v>
      </c>
      <c r="AE45" s="34">
        <v>95</v>
      </c>
      <c r="AF45" s="29">
        <f t="shared" si="4"/>
        <v>698</v>
      </c>
      <c r="AG45" s="34">
        <f t="shared" si="5"/>
        <v>87.25</v>
      </c>
      <c r="AH45" s="29">
        <f t="shared" si="6"/>
        <v>1756</v>
      </c>
      <c r="AI45" s="34">
        <f t="shared" si="7"/>
        <v>75.970238095238088</v>
      </c>
      <c r="AJ45" s="40"/>
      <c r="AK45" s="29" t="s">
        <v>11</v>
      </c>
      <c r="AL45" s="41"/>
    </row>
    <row r="46" spans="1:38" s="11" customFormat="1" ht="49.95" customHeight="1">
      <c r="A46" s="19">
        <v>38</v>
      </c>
      <c r="B46" s="3">
        <v>222308648</v>
      </c>
      <c r="C46" s="4" t="s">
        <v>83</v>
      </c>
      <c r="D46" s="5" t="s">
        <v>84</v>
      </c>
      <c r="E46" s="24">
        <v>79</v>
      </c>
      <c r="F46" s="24">
        <v>68</v>
      </c>
      <c r="G46" s="24">
        <v>95</v>
      </c>
      <c r="H46" s="24">
        <v>82</v>
      </c>
      <c r="I46" s="24">
        <v>61</v>
      </c>
      <c r="J46" s="24">
        <v>64</v>
      </c>
      <c r="K46" s="24">
        <v>81</v>
      </c>
      <c r="L46" s="24">
        <f t="shared" si="0"/>
        <v>530</v>
      </c>
      <c r="M46" s="33">
        <f t="shared" si="1"/>
        <v>75.714285714285708</v>
      </c>
      <c r="N46" s="24">
        <v>82</v>
      </c>
      <c r="O46" s="24">
        <v>55</v>
      </c>
      <c r="P46" s="24">
        <v>95</v>
      </c>
      <c r="Q46" s="24">
        <v>67</v>
      </c>
      <c r="R46" s="24">
        <v>73</v>
      </c>
      <c r="S46" s="24">
        <v>93</v>
      </c>
      <c r="T46" s="24">
        <v>89</v>
      </c>
      <c r="U46" s="24">
        <v>91</v>
      </c>
      <c r="V46" s="24">
        <f t="shared" si="2"/>
        <v>645</v>
      </c>
      <c r="W46" s="33">
        <f t="shared" si="3"/>
        <v>80.625</v>
      </c>
      <c r="X46" s="24">
        <v>86</v>
      </c>
      <c r="Y46" s="24">
        <v>59</v>
      </c>
      <c r="Z46" s="33">
        <v>100</v>
      </c>
      <c r="AA46" s="33">
        <v>71</v>
      </c>
      <c r="AB46" s="33">
        <v>83</v>
      </c>
      <c r="AC46" s="33">
        <v>100</v>
      </c>
      <c r="AD46" s="33">
        <v>100</v>
      </c>
      <c r="AE46" s="33">
        <v>98</v>
      </c>
      <c r="AF46" s="24">
        <f t="shared" si="4"/>
        <v>697</v>
      </c>
      <c r="AG46" s="33">
        <f t="shared" si="5"/>
        <v>87.125</v>
      </c>
      <c r="AH46" s="24">
        <f t="shared" si="6"/>
        <v>1872</v>
      </c>
      <c r="AI46" s="33">
        <f t="shared" si="7"/>
        <v>81.154761904761912</v>
      </c>
      <c r="AJ46" s="38">
        <v>2</v>
      </c>
      <c r="AK46" s="30" t="s">
        <v>11</v>
      </c>
      <c r="AL46" s="39"/>
    </row>
    <row r="47" spans="1:38" s="11" customFormat="1" ht="49.95" customHeight="1">
      <c r="A47" s="19">
        <v>39</v>
      </c>
      <c r="B47" s="3">
        <v>222308652</v>
      </c>
      <c r="C47" s="4" t="s">
        <v>85</v>
      </c>
      <c r="D47" s="5" t="s">
        <v>86</v>
      </c>
      <c r="E47" s="24">
        <v>72</v>
      </c>
      <c r="F47" s="24">
        <v>71</v>
      </c>
      <c r="G47" s="24">
        <v>78</v>
      </c>
      <c r="H47" s="24">
        <v>82</v>
      </c>
      <c r="I47" s="24">
        <v>51</v>
      </c>
      <c r="J47" s="24">
        <v>75</v>
      </c>
      <c r="K47" s="24">
        <v>74</v>
      </c>
      <c r="L47" s="24">
        <f t="shared" si="0"/>
        <v>503</v>
      </c>
      <c r="M47" s="33">
        <f t="shared" si="1"/>
        <v>71.857142857142861</v>
      </c>
      <c r="N47" s="24">
        <v>78</v>
      </c>
      <c r="O47" s="24">
        <v>51</v>
      </c>
      <c r="P47" s="24">
        <v>100</v>
      </c>
      <c r="Q47" s="24">
        <v>79</v>
      </c>
      <c r="R47" s="24">
        <v>51</v>
      </c>
      <c r="S47" s="24">
        <v>68</v>
      </c>
      <c r="T47" s="24">
        <v>81</v>
      </c>
      <c r="U47" s="24">
        <v>80</v>
      </c>
      <c r="V47" s="24">
        <f t="shared" si="2"/>
        <v>588</v>
      </c>
      <c r="W47" s="33">
        <f t="shared" si="3"/>
        <v>73.5</v>
      </c>
      <c r="X47" s="24">
        <v>73</v>
      </c>
      <c r="Y47" s="24">
        <v>46</v>
      </c>
      <c r="Z47" s="33">
        <v>95</v>
      </c>
      <c r="AA47" s="33">
        <v>60</v>
      </c>
      <c r="AB47" s="33">
        <v>75</v>
      </c>
      <c r="AC47" s="33">
        <v>65</v>
      </c>
      <c r="AD47" s="33">
        <v>86</v>
      </c>
      <c r="AE47" s="33">
        <v>98</v>
      </c>
      <c r="AF47" s="24">
        <f t="shared" si="4"/>
        <v>598</v>
      </c>
      <c r="AG47" s="33">
        <f t="shared" si="5"/>
        <v>74.75</v>
      </c>
      <c r="AH47" s="24">
        <f t="shared" si="6"/>
        <v>1689</v>
      </c>
      <c r="AI47" s="33">
        <f t="shared" si="7"/>
        <v>73.36904761904762</v>
      </c>
      <c r="AJ47" s="38">
        <v>6</v>
      </c>
      <c r="AK47" s="24" t="s">
        <v>11</v>
      </c>
      <c r="AL47" s="39"/>
    </row>
    <row r="48" spans="1:38" s="11" customFormat="1" ht="49.95" customHeight="1">
      <c r="A48" s="19">
        <v>40</v>
      </c>
      <c r="B48" s="3">
        <v>222308655</v>
      </c>
      <c r="C48" s="4" t="s">
        <v>87</v>
      </c>
      <c r="D48" s="5" t="s">
        <v>88</v>
      </c>
      <c r="E48" s="24">
        <v>63</v>
      </c>
      <c r="F48" s="24">
        <v>58</v>
      </c>
      <c r="G48" s="24">
        <v>93</v>
      </c>
      <c r="H48" s="24">
        <v>67</v>
      </c>
      <c r="I48" s="24">
        <v>58</v>
      </c>
      <c r="J48" s="24">
        <v>52</v>
      </c>
      <c r="K48" s="24">
        <v>72</v>
      </c>
      <c r="L48" s="24">
        <f t="shared" si="0"/>
        <v>463</v>
      </c>
      <c r="M48" s="33">
        <f t="shared" si="1"/>
        <v>66.142857142857139</v>
      </c>
      <c r="N48" s="24">
        <v>64</v>
      </c>
      <c r="O48" s="24">
        <v>52</v>
      </c>
      <c r="P48" s="24">
        <v>60</v>
      </c>
      <c r="Q48" s="24">
        <v>47</v>
      </c>
      <c r="R48" s="24">
        <v>46</v>
      </c>
      <c r="S48" s="24">
        <v>70</v>
      </c>
      <c r="T48" s="24">
        <v>58</v>
      </c>
      <c r="U48" s="24">
        <v>88</v>
      </c>
      <c r="V48" s="24">
        <f t="shared" si="2"/>
        <v>485</v>
      </c>
      <c r="W48" s="33">
        <f t="shared" si="3"/>
        <v>60.625</v>
      </c>
      <c r="X48" s="24">
        <v>56</v>
      </c>
      <c r="Y48" s="24">
        <v>50</v>
      </c>
      <c r="Z48" s="33">
        <v>60</v>
      </c>
      <c r="AA48" s="33">
        <v>26</v>
      </c>
      <c r="AB48" s="33">
        <v>45</v>
      </c>
      <c r="AC48" s="33">
        <v>65</v>
      </c>
      <c r="AD48" s="33">
        <v>73</v>
      </c>
      <c r="AE48" s="33">
        <v>88</v>
      </c>
      <c r="AF48" s="24">
        <f t="shared" si="4"/>
        <v>463</v>
      </c>
      <c r="AG48" s="33">
        <f t="shared" si="5"/>
        <v>57.875</v>
      </c>
      <c r="AH48" s="24">
        <f t="shared" si="6"/>
        <v>1411</v>
      </c>
      <c r="AI48" s="33">
        <f t="shared" si="7"/>
        <v>61.547619047619044</v>
      </c>
      <c r="AJ48" s="38"/>
      <c r="AK48" s="24">
        <v>2</v>
      </c>
      <c r="AL48" s="39"/>
    </row>
    <row r="49" spans="1:38" s="11" customFormat="1" ht="49.95" customHeight="1">
      <c r="A49" s="19">
        <v>41</v>
      </c>
      <c r="B49" s="3">
        <v>222308656</v>
      </c>
      <c r="C49" s="4" t="s">
        <v>89</v>
      </c>
      <c r="D49" s="5" t="s">
        <v>90</v>
      </c>
      <c r="E49" s="24">
        <v>63</v>
      </c>
      <c r="F49" s="24">
        <v>58</v>
      </c>
      <c r="G49" s="24">
        <v>93</v>
      </c>
      <c r="H49" s="24">
        <v>68</v>
      </c>
      <c r="I49" s="24">
        <v>58</v>
      </c>
      <c r="J49" s="24">
        <v>52</v>
      </c>
      <c r="K49" s="24">
        <v>72</v>
      </c>
      <c r="L49" s="24">
        <f t="shared" si="0"/>
        <v>464</v>
      </c>
      <c r="M49" s="33">
        <f t="shared" si="1"/>
        <v>66.285714285714292</v>
      </c>
      <c r="N49" s="24">
        <v>71</v>
      </c>
      <c r="O49" s="24">
        <v>57</v>
      </c>
      <c r="P49" s="24">
        <v>93</v>
      </c>
      <c r="Q49" s="24">
        <v>75</v>
      </c>
      <c r="R49" s="24">
        <v>91</v>
      </c>
      <c r="S49" s="24">
        <v>78</v>
      </c>
      <c r="T49" s="24">
        <v>86</v>
      </c>
      <c r="U49" s="24">
        <v>91</v>
      </c>
      <c r="V49" s="24">
        <f t="shared" si="2"/>
        <v>642</v>
      </c>
      <c r="W49" s="33">
        <f t="shared" si="3"/>
        <v>80.25</v>
      </c>
      <c r="X49" s="24">
        <v>63</v>
      </c>
      <c r="Y49" s="24">
        <v>56</v>
      </c>
      <c r="Z49" s="33">
        <v>100</v>
      </c>
      <c r="AA49" s="33">
        <v>85</v>
      </c>
      <c r="AB49" s="33">
        <v>70</v>
      </c>
      <c r="AC49" s="33">
        <v>80</v>
      </c>
      <c r="AD49" s="33">
        <v>99</v>
      </c>
      <c r="AE49" s="33">
        <v>98</v>
      </c>
      <c r="AF49" s="24">
        <f t="shared" si="4"/>
        <v>651</v>
      </c>
      <c r="AG49" s="33">
        <f t="shared" si="5"/>
        <v>81.375</v>
      </c>
      <c r="AH49" s="24">
        <f t="shared" si="6"/>
        <v>1757</v>
      </c>
      <c r="AI49" s="33">
        <f t="shared" si="7"/>
        <v>75.970238095238088</v>
      </c>
      <c r="AJ49" s="38">
        <v>4</v>
      </c>
      <c r="AK49" s="24" t="s">
        <v>11</v>
      </c>
      <c r="AL49" s="39"/>
    </row>
    <row r="50" spans="1:38" s="12" customFormat="1" ht="49.95" customHeight="1">
      <c r="A50" s="25">
        <v>42</v>
      </c>
      <c r="B50" s="26">
        <v>222308657</v>
      </c>
      <c r="C50" s="27" t="s">
        <v>91</v>
      </c>
      <c r="D50" s="28" t="s">
        <v>92</v>
      </c>
      <c r="E50" s="29">
        <v>53</v>
      </c>
      <c r="F50" s="29">
        <v>51</v>
      </c>
      <c r="G50" s="29">
        <v>93</v>
      </c>
      <c r="H50" s="29">
        <v>61</v>
      </c>
      <c r="I50" s="29">
        <v>50</v>
      </c>
      <c r="J50" s="29">
        <v>65</v>
      </c>
      <c r="K50" s="29">
        <v>77</v>
      </c>
      <c r="L50" s="29">
        <f t="shared" si="0"/>
        <v>450</v>
      </c>
      <c r="M50" s="34">
        <f t="shared" si="1"/>
        <v>64.285714285714292</v>
      </c>
      <c r="N50" s="35">
        <v>55</v>
      </c>
      <c r="O50" s="35">
        <v>58</v>
      </c>
      <c r="P50" s="35">
        <v>85</v>
      </c>
      <c r="Q50" s="35">
        <v>69</v>
      </c>
      <c r="R50" s="35">
        <v>62</v>
      </c>
      <c r="S50" s="35">
        <v>66</v>
      </c>
      <c r="T50" s="35">
        <v>81</v>
      </c>
      <c r="U50" s="35">
        <v>90</v>
      </c>
      <c r="V50" s="29">
        <f t="shared" si="2"/>
        <v>566</v>
      </c>
      <c r="W50" s="34">
        <f t="shared" si="3"/>
        <v>70.75</v>
      </c>
      <c r="X50" s="29">
        <v>73</v>
      </c>
      <c r="Y50" s="29">
        <v>56</v>
      </c>
      <c r="Z50" s="34">
        <v>85</v>
      </c>
      <c r="AA50" s="34">
        <v>67</v>
      </c>
      <c r="AB50" s="34">
        <v>69</v>
      </c>
      <c r="AC50" s="34">
        <v>100</v>
      </c>
      <c r="AD50" s="34">
        <v>90</v>
      </c>
      <c r="AE50" s="34">
        <v>95</v>
      </c>
      <c r="AF50" s="29">
        <f t="shared" si="4"/>
        <v>635</v>
      </c>
      <c r="AG50" s="34">
        <f t="shared" si="5"/>
        <v>79.375</v>
      </c>
      <c r="AH50" s="29">
        <f t="shared" si="6"/>
        <v>1651</v>
      </c>
      <c r="AI50" s="34">
        <f t="shared" si="7"/>
        <v>71.470238095238088</v>
      </c>
      <c r="AJ50" s="40"/>
      <c r="AK50" s="24" t="s">
        <v>11</v>
      </c>
      <c r="AL50" s="41"/>
    </row>
    <row r="51" spans="1:38" s="11" customFormat="1" ht="49.95" customHeight="1">
      <c r="A51" s="19">
        <v>43</v>
      </c>
      <c r="B51" s="3">
        <v>222308658</v>
      </c>
      <c r="C51" s="4" t="s">
        <v>93</v>
      </c>
      <c r="D51" s="5" t="s">
        <v>94</v>
      </c>
      <c r="E51" s="24">
        <v>52</v>
      </c>
      <c r="F51" s="24">
        <v>50</v>
      </c>
      <c r="G51" s="24">
        <v>88</v>
      </c>
      <c r="H51" s="24">
        <v>45</v>
      </c>
      <c r="I51" s="24">
        <v>51</v>
      </c>
      <c r="J51" s="24">
        <v>70</v>
      </c>
      <c r="K51" s="24">
        <v>89</v>
      </c>
      <c r="L51" s="24">
        <f t="shared" si="0"/>
        <v>445</v>
      </c>
      <c r="M51" s="33">
        <f t="shared" si="1"/>
        <v>63.571428571428569</v>
      </c>
      <c r="N51" s="24">
        <v>51</v>
      </c>
      <c r="O51" s="24">
        <v>64</v>
      </c>
      <c r="P51" s="24">
        <v>85</v>
      </c>
      <c r="Q51" s="24">
        <v>58</v>
      </c>
      <c r="R51" s="24">
        <v>46</v>
      </c>
      <c r="S51" s="24">
        <v>97</v>
      </c>
      <c r="T51" s="24">
        <v>80</v>
      </c>
      <c r="U51" s="24">
        <v>84</v>
      </c>
      <c r="V51" s="24">
        <f t="shared" si="2"/>
        <v>565</v>
      </c>
      <c r="W51" s="33">
        <f t="shared" si="3"/>
        <v>70.625</v>
      </c>
      <c r="X51" s="24">
        <v>48</v>
      </c>
      <c r="Y51" s="24">
        <v>50</v>
      </c>
      <c r="Z51" s="33">
        <v>60</v>
      </c>
      <c r="AA51" s="33">
        <v>49</v>
      </c>
      <c r="AB51" s="33">
        <v>65</v>
      </c>
      <c r="AC51" s="33">
        <v>75</v>
      </c>
      <c r="AD51" s="33">
        <v>68</v>
      </c>
      <c r="AE51" s="33">
        <v>87</v>
      </c>
      <c r="AF51" s="24">
        <f t="shared" si="4"/>
        <v>502</v>
      </c>
      <c r="AG51" s="33">
        <f t="shared" si="5"/>
        <v>62.75</v>
      </c>
      <c r="AH51" s="24">
        <f t="shared" si="6"/>
        <v>1512</v>
      </c>
      <c r="AI51" s="33">
        <f t="shared" si="7"/>
        <v>65.648809523809518</v>
      </c>
      <c r="AJ51" s="38">
        <v>15</v>
      </c>
      <c r="AK51" s="24" t="s">
        <v>11</v>
      </c>
      <c r="AL51" s="39"/>
    </row>
    <row r="52" spans="1:38" s="11" customFormat="1" ht="49.95" customHeight="1">
      <c r="A52" s="19">
        <v>44</v>
      </c>
      <c r="B52" s="3">
        <v>222308659</v>
      </c>
      <c r="C52" s="4" t="s">
        <v>95</v>
      </c>
      <c r="D52" s="5" t="s">
        <v>96</v>
      </c>
      <c r="E52" s="24">
        <v>67</v>
      </c>
      <c r="F52" s="24">
        <v>55</v>
      </c>
      <c r="G52" s="24">
        <v>100</v>
      </c>
      <c r="H52" s="24">
        <v>54</v>
      </c>
      <c r="I52" s="24">
        <v>58</v>
      </c>
      <c r="J52" s="24">
        <v>62</v>
      </c>
      <c r="K52" s="24">
        <v>88</v>
      </c>
      <c r="L52" s="24">
        <f t="shared" si="0"/>
        <v>484</v>
      </c>
      <c r="M52" s="33">
        <f t="shared" si="1"/>
        <v>69.142857142857139</v>
      </c>
      <c r="N52" s="24">
        <v>74</v>
      </c>
      <c r="O52" s="24">
        <v>61</v>
      </c>
      <c r="P52" s="24">
        <v>100</v>
      </c>
      <c r="Q52" s="24">
        <v>53</v>
      </c>
      <c r="R52" s="24">
        <v>53</v>
      </c>
      <c r="S52" s="24">
        <v>96</v>
      </c>
      <c r="T52" s="24">
        <v>74</v>
      </c>
      <c r="U52" s="24">
        <v>84</v>
      </c>
      <c r="V52" s="24">
        <f t="shared" si="2"/>
        <v>595</v>
      </c>
      <c r="W52" s="33">
        <f t="shared" si="3"/>
        <v>74.375</v>
      </c>
      <c r="X52" s="19">
        <v>67</v>
      </c>
      <c r="Y52" s="24">
        <v>50</v>
      </c>
      <c r="Z52" s="33">
        <v>100</v>
      </c>
      <c r="AA52" s="33">
        <v>52</v>
      </c>
      <c r="AB52" s="33">
        <v>71</v>
      </c>
      <c r="AC52" s="33">
        <v>60</v>
      </c>
      <c r="AD52" s="33">
        <v>99</v>
      </c>
      <c r="AE52" s="33">
        <v>90</v>
      </c>
      <c r="AF52" s="24">
        <f t="shared" si="4"/>
        <v>589</v>
      </c>
      <c r="AG52" s="33">
        <f t="shared" si="5"/>
        <v>73.625</v>
      </c>
      <c r="AH52" s="24">
        <f t="shared" si="6"/>
        <v>1668</v>
      </c>
      <c r="AI52" s="33">
        <f t="shared" si="7"/>
        <v>72.38095238095238</v>
      </c>
      <c r="AJ52" s="38">
        <v>8</v>
      </c>
      <c r="AK52" s="24" t="s">
        <v>11</v>
      </c>
      <c r="AL52" s="39"/>
    </row>
    <row r="53" spans="1:38" s="11" customFormat="1" ht="49.95" customHeight="1">
      <c r="A53" s="19">
        <v>45</v>
      </c>
      <c r="B53" s="3">
        <v>222308660</v>
      </c>
      <c r="C53" s="4" t="s">
        <v>97</v>
      </c>
      <c r="D53" s="5" t="s">
        <v>98</v>
      </c>
      <c r="E53" s="24">
        <v>70</v>
      </c>
      <c r="F53" s="24">
        <v>67</v>
      </c>
      <c r="G53" s="24">
        <v>88</v>
      </c>
      <c r="H53" s="24">
        <v>24</v>
      </c>
      <c r="I53" s="24">
        <v>32</v>
      </c>
      <c r="J53" s="24">
        <v>58</v>
      </c>
      <c r="K53" s="24">
        <v>85</v>
      </c>
      <c r="L53" s="24">
        <f t="shared" si="0"/>
        <v>424</v>
      </c>
      <c r="M53" s="33">
        <f t="shared" si="1"/>
        <v>60.571428571428569</v>
      </c>
      <c r="N53" s="24">
        <v>57</v>
      </c>
      <c r="O53" s="24">
        <v>45</v>
      </c>
      <c r="P53" s="24">
        <v>70</v>
      </c>
      <c r="Q53" s="24">
        <v>21</v>
      </c>
      <c r="R53" s="24">
        <v>45</v>
      </c>
      <c r="S53" s="24">
        <v>97</v>
      </c>
      <c r="T53" s="24">
        <v>58</v>
      </c>
      <c r="U53" s="24">
        <v>91</v>
      </c>
      <c r="V53" s="24">
        <f t="shared" si="2"/>
        <v>484</v>
      </c>
      <c r="W53" s="33">
        <f t="shared" si="3"/>
        <v>60.5</v>
      </c>
      <c r="X53" s="24">
        <v>85</v>
      </c>
      <c r="Y53" s="24">
        <v>46</v>
      </c>
      <c r="Z53" s="33">
        <v>70</v>
      </c>
      <c r="AA53" s="33">
        <v>29</v>
      </c>
      <c r="AB53" s="33">
        <v>50</v>
      </c>
      <c r="AC53" s="33">
        <v>100</v>
      </c>
      <c r="AD53" s="33">
        <v>74</v>
      </c>
      <c r="AE53" s="33">
        <v>93</v>
      </c>
      <c r="AF53" s="24">
        <f t="shared" si="4"/>
        <v>547</v>
      </c>
      <c r="AG53" s="33">
        <f t="shared" si="5"/>
        <v>68.375</v>
      </c>
      <c r="AH53" s="24">
        <f t="shared" si="6"/>
        <v>1455</v>
      </c>
      <c r="AI53" s="33">
        <f t="shared" si="7"/>
        <v>63.148809523809518</v>
      </c>
      <c r="AJ53" s="38"/>
      <c r="AK53" s="30">
        <v>4</v>
      </c>
      <c r="AL53" s="39"/>
    </row>
    <row r="54" spans="1:38" s="11" customFormat="1" ht="49.95" customHeight="1">
      <c r="A54" s="19">
        <v>46</v>
      </c>
      <c r="B54" s="3">
        <v>222308661</v>
      </c>
      <c r="C54" s="4" t="s">
        <v>99</v>
      </c>
      <c r="D54" s="5" t="s">
        <v>100</v>
      </c>
      <c r="E54" s="24">
        <v>70</v>
      </c>
      <c r="F54" s="24">
        <v>47</v>
      </c>
      <c r="G54" s="24">
        <v>55</v>
      </c>
      <c r="H54" s="24">
        <v>21</v>
      </c>
      <c r="I54" s="24">
        <v>22</v>
      </c>
      <c r="J54" s="24">
        <v>52</v>
      </c>
      <c r="K54" s="24">
        <v>90</v>
      </c>
      <c r="L54" s="24">
        <f t="shared" si="0"/>
        <v>357</v>
      </c>
      <c r="M54" s="33">
        <f t="shared" si="1"/>
        <v>51</v>
      </c>
      <c r="N54" s="24">
        <v>84</v>
      </c>
      <c r="O54" s="24">
        <v>45</v>
      </c>
      <c r="P54" s="24">
        <v>70</v>
      </c>
      <c r="Q54" s="24">
        <v>17</v>
      </c>
      <c r="R54" s="24">
        <v>46</v>
      </c>
      <c r="S54" s="24">
        <v>97</v>
      </c>
      <c r="T54" s="24">
        <v>54</v>
      </c>
      <c r="U54" s="24">
        <v>79</v>
      </c>
      <c r="V54" s="24">
        <f t="shared" si="2"/>
        <v>492</v>
      </c>
      <c r="W54" s="33">
        <f t="shared" si="3"/>
        <v>61.5</v>
      </c>
      <c r="X54" s="24">
        <v>60</v>
      </c>
      <c r="Y54" s="24">
        <v>53</v>
      </c>
      <c r="Z54" s="33">
        <v>70</v>
      </c>
      <c r="AA54" s="33">
        <v>17</v>
      </c>
      <c r="AB54" s="33">
        <v>50</v>
      </c>
      <c r="AC54" s="33">
        <v>85</v>
      </c>
      <c r="AD54" s="33">
        <v>74</v>
      </c>
      <c r="AE54" s="33">
        <v>90</v>
      </c>
      <c r="AF54" s="24">
        <f t="shared" si="4"/>
        <v>499</v>
      </c>
      <c r="AG54" s="33">
        <f t="shared" si="5"/>
        <v>62.375</v>
      </c>
      <c r="AH54" s="24">
        <f t="shared" si="6"/>
        <v>1348</v>
      </c>
      <c r="AI54" s="33">
        <f t="shared" si="7"/>
        <v>58.291666666666664</v>
      </c>
      <c r="AJ54" s="38"/>
      <c r="AK54" s="30">
        <v>4</v>
      </c>
      <c r="AL54" s="39"/>
    </row>
    <row r="55" spans="1:38" s="11" customFormat="1" ht="49.95" customHeight="1">
      <c r="A55" s="19">
        <v>47</v>
      </c>
      <c r="B55" s="3">
        <v>222308662</v>
      </c>
      <c r="C55" s="4" t="s">
        <v>101</v>
      </c>
      <c r="D55" s="5" t="s">
        <v>102</v>
      </c>
      <c r="E55" s="24">
        <v>74</v>
      </c>
      <c r="F55" s="24">
        <v>52</v>
      </c>
      <c r="G55" s="24">
        <v>55</v>
      </c>
      <c r="H55" s="24">
        <v>53</v>
      </c>
      <c r="I55" s="24">
        <v>19</v>
      </c>
      <c r="J55" s="24">
        <v>53</v>
      </c>
      <c r="K55" s="24">
        <v>88</v>
      </c>
      <c r="L55" s="24">
        <f t="shared" si="0"/>
        <v>394</v>
      </c>
      <c r="M55" s="33">
        <f t="shared" si="1"/>
        <v>56.285714285714285</v>
      </c>
      <c r="N55" s="24">
        <v>55</v>
      </c>
      <c r="O55" s="24">
        <v>54</v>
      </c>
      <c r="P55" s="24">
        <v>60</v>
      </c>
      <c r="Q55" s="24">
        <v>23</v>
      </c>
      <c r="R55" s="24">
        <v>17</v>
      </c>
      <c r="S55" s="24">
        <v>92</v>
      </c>
      <c r="T55" s="24">
        <v>51</v>
      </c>
      <c r="U55" s="24">
        <v>85</v>
      </c>
      <c r="V55" s="24">
        <f t="shared" si="2"/>
        <v>437</v>
      </c>
      <c r="W55" s="33">
        <f t="shared" si="3"/>
        <v>54.625</v>
      </c>
      <c r="X55" s="24">
        <v>40</v>
      </c>
      <c r="Y55" s="24">
        <v>31</v>
      </c>
      <c r="Z55" s="33">
        <v>60</v>
      </c>
      <c r="AA55" s="33">
        <v>22</v>
      </c>
      <c r="AB55" s="33">
        <v>13</v>
      </c>
      <c r="AC55" s="33">
        <v>65</v>
      </c>
      <c r="AD55" s="33">
        <v>63</v>
      </c>
      <c r="AE55" s="33">
        <v>88</v>
      </c>
      <c r="AF55" s="24">
        <f t="shared" si="4"/>
        <v>382</v>
      </c>
      <c r="AG55" s="33">
        <f t="shared" si="5"/>
        <v>47.75</v>
      </c>
      <c r="AH55" s="24">
        <f t="shared" si="6"/>
        <v>1213</v>
      </c>
      <c r="AI55" s="33">
        <f t="shared" si="7"/>
        <v>52.886904761904759</v>
      </c>
      <c r="AJ55" s="38"/>
      <c r="AK55" s="24">
        <v>7</v>
      </c>
      <c r="AL55" s="39"/>
    </row>
    <row r="56" spans="1:38" s="11" customFormat="1" ht="49.95" customHeight="1">
      <c r="A56" s="19">
        <v>48</v>
      </c>
      <c r="B56" s="3">
        <v>222308663</v>
      </c>
      <c r="C56" s="4" t="s">
        <v>103</v>
      </c>
      <c r="D56" s="5" t="s">
        <v>104</v>
      </c>
      <c r="E56" s="24">
        <v>92</v>
      </c>
      <c r="F56" s="24">
        <v>56</v>
      </c>
      <c r="G56" s="24">
        <v>93</v>
      </c>
      <c r="H56" s="24">
        <v>80</v>
      </c>
      <c r="I56" s="24">
        <v>50</v>
      </c>
      <c r="J56" s="24">
        <v>74</v>
      </c>
      <c r="K56" s="24">
        <v>90</v>
      </c>
      <c r="L56" s="24">
        <f t="shared" si="0"/>
        <v>535</v>
      </c>
      <c r="M56" s="33">
        <f t="shared" si="1"/>
        <v>76.428571428571431</v>
      </c>
      <c r="N56" s="24">
        <v>81</v>
      </c>
      <c r="O56" s="24">
        <v>75</v>
      </c>
      <c r="P56" s="24">
        <v>80</v>
      </c>
      <c r="Q56" s="24">
        <v>48</v>
      </c>
      <c r="R56" s="24">
        <v>57</v>
      </c>
      <c r="S56" s="24">
        <v>92</v>
      </c>
      <c r="T56" s="24">
        <v>78</v>
      </c>
      <c r="U56" s="24">
        <v>91</v>
      </c>
      <c r="V56" s="24">
        <f t="shared" si="2"/>
        <v>602</v>
      </c>
      <c r="W56" s="33">
        <f t="shared" si="3"/>
        <v>75.25</v>
      </c>
      <c r="X56" s="24">
        <v>64</v>
      </c>
      <c r="Y56" s="24">
        <v>57</v>
      </c>
      <c r="Z56" s="33">
        <v>60</v>
      </c>
      <c r="AA56" s="33">
        <v>34</v>
      </c>
      <c r="AB56" s="33">
        <v>58</v>
      </c>
      <c r="AC56" s="33">
        <v>70</v>
      </c>
      <c r="AD56" s="33">
        <v>63</v>
      </c>
      <c r="AE56" s="33">
        <v>97</v>
      </c>
      <c r="AF56" s="24">
        <f t="shared" si="4"/>
        <v>503</v>
      </c>
      <c r="AG56" s="33">
        <f t="shared" si="5"/>
        <v>62.875</v>
      </c>
      <c r="AH56" s="24">
        <f t="shared" si="6"/>
        <v>1640</v>
      </c>
      <c r="AI56" s="33">
        <f t="shared" si="7"/>
        <v>71.517857142857153</v>
      </c>
      <c r="AJ56" s="38"/>
      <c r="AK56" s="24">
        <v>1</v>
      </c>
      <c r="AL56" s="39"/>
    </row>
    <row r="57" spans="1:38" s="11" customFormat="1" ht="49.95" customHeight="1">
      <c r="A57" s="19">
        <v>49</v>
      </c>
      <c r="B57" s="6">
        <v>222308664</v>
      </c>
      <c r="C57" s="7" t="s">
        <v>105</v>
      </c>
      <c r="D57" s="5" t="s">
        <v>106</v>
      </c>
      <c r="E57" s="24">
        <v>60</v>
      </c>
      <c r="F57" s="24">
        <v>60</v>
      </c>
      <c r="G57" s="24">
        <v>55</v>
      </c>
      <c r="H57" s="24">
        <v>65</v>
      </c>
      <c r="I57" s="24">
        <v>46</v>
      </c>
      <c r="J57" s="24">
        <v>74</v>
      </c>
      <c r="K57" s="24">
        <v>90</v>
      </c>
      <c r="L57" s="24">
        <f t="shared" si="0"/>
        <v>450</v>
      </c>
      <c r="M57" s="33">
        <f t="shared" si="1"/>
        <v>64.285714285714292</v>
      </c>
      <c r="N57" s="30">
        <v>60</v>
      </c>
      <c r="O57" s="30">
        <v>67</v>
      </c>
      <c r="P57" s="30">
        <v>70</v>
      </c>
      <c r="Q57" s="30">
        <v>64</v>
      </c>
      <c r="R57" s="30">
        <v>63</v>
      </c>
      <c r="S57" s="30">
        <v>95</v>
      </c>
      <c r="T57" s="30">
        <v>81</v>
      </c>
      <c r="U57" s="30">
        <v>86</v>
      </c>
      <c r="V57" s="24">
        <f t="shared" si="2"/>
        <v>586</v>
      </c>
      <c r="W57" s="33">
        <f t="shared" si="3"/>
        <v>73.25</v>
      </c>
      <c r="X57" s="24">
        <v>58</v>
      </c>
      <c r="Y57" s="24">
        <v>50</v>
      </c>
      <c r="Z57" s="33">
        <v>65</v>
      </c>
      <c r="AA57" s="33">
        <v>44</v>
      </c>
      <c r="AB57" s="33">
        <v>79</v>
      </c>
      <c r="AC57" s="33">
        <v>85</v>
      </c>
      <c r="AD57" s="33">
        <v>81</v>
      </c>
      <c r="AE57" s="33">
        <v>93</v>
      </c>
      <c r="AF57" s="24">
        <f t="shared" si="4"/>
        <v>555</v>
      </c>
      <c r="AG57" s="33">
        <f t="shared" si="5"/>
        <v>69.375</v>
      </c>
      <c r="AH57" s="24">
        <f t="shared" si="6"/>
        <v>1591</v>
      </c>
      <c r="AI57" s="33">
        <f t="shared" si="7"/>
        <v>68.970238095238088</v>
      </c>
      <c r="AJ57" s="38">
        <v>12</v>
      </c>
      <c r="AK57" s="24" t="s">
        <v>11</v>
      </c>
      <c r="AL57" s="39"/>
    </row>
    <row r="58" spans="1:38" s="11" customFormat="1" ht="49.95" customHeight="1">
      <c r="A58" s="19">
        <v>50</v>
      </c>
      <c r="B58" s="8">
        <v>222308665</v>
      </c>
      <c r="C58" s="9" t="s">
        <v>107</v>
      </c>
      <c r="D58" s="5" t="s">
        <v>108</v>
      </c>
      <c r="E58" s="24">
        <v>67</v>
      </c>
      <c r="F58" s="24">
        <v>75</v>
      </c>
      <c r="G58" s="24">
        <v>60</v>
      </c>
      <c r="H58" s="24">
        <v>71</v>
      </c>
      <c r="I58" s="24">
        <v>52</v>
      </c>
      <c r="J58" s="24">
        <v>67</v>
      </c>
      <c r="K58" s="24">
        <v>91</v>
      </c>
      <c r="L58" s="24">
        <f t="shared" si="0"/>
        <v>483</v>
      </c>
      <c r="M58" s="33">
        <f t="shared" si="1"/>
        <v>69</v>
      </c>
      <c r="N58" s="36">
        <v>69</v>
      </c>
      <c r="O58" s="36">
        <v>69</v>
      </c>
      <c r="P58" s="36">
        <v>80</v>
      </c>
      <c r="Q58" s="36">
        <v>47</v>
      </c>
      <c r="R58" s="36">
        <v>66</v>
      </c>
      <c r="S58" s="36">
        <v>98</v>
      </c>
      <c r="T58" s="36">
        <v>78</v>
      </c>
      <c r="U58" s="36">
        <v>91</v>
      </c>
      <c r="V58" s="24">
        <f t="shared" si="2"/>
        <v>598</v>
      </c>
      <c r="W58" s="33">
        <f t="shared" si="3"/>
        <v>74.75</v>
      </c>
      <c r="X58" s="24">
        <v>62</v>
      </c>
      <c r="Y58" s="24">
        <v>63</v>
      </c>
      <c r="Z58" s="33">
        <v>80</v>
      </c>
      <c r="AA58" s="33">
        <v>65</v>
      </c>
      <c r="AB58" s="33">
        <v>82</v>
      </c>
      <c r="AC58" s="33">
        <v>100</v>
      </c>
      <c r="AD58" s="33">
        <v>80</v>
      </c>
      <c r="AE58" s="33">
        <v>93</v>
      </c>
      <c r="AF58" s="24">
        <f t="shared" si="4"/>
        <v>625</v>
      </c>
      <c r="AG58" s="33">
        <f t="shared" si="5"/>
        <v>78.125</v>
      </c>
      <c r="AH58" s="24">
        <f t="shared" si="6"/>
        <v>1706</v>
      </c>
      <c r="AI58" s="33">
        <f t="shared" si="7"/>
        <v>73.958333333333329</v>
      </c>
      <c r="AJ58" s="38">
        <v>5</v>
      </c>
      <c r="AK58" s="24" t="s">
        <v>11</v>
      </c>
      <c r="AL58" s="39"/>
    </row>
  </sheetData>
  <autoFilter ref="AK1:AK58" xr:uid="{00000000-0009-0000-0000-000001000000}"/>
  <mergeCells count="7">
    <mergeCell ref="B1:AH1"/>
    <mergeCell ref="B2:AH2"/>
    <mergeCell ref="B3:AH3"/>
    <mergeCell ref="E7:M7"/>
    <mergeCell ref="N7:W7"/>
    <mergeCell ref="X7:AF7"/>
    <mergeCell ref="AH7:AL7"/>
  </mergeCells>
  <conditionalFormatting sqref="B9:D58">
    <cfRule type="expression" dxfId="9" priority="4">
      <formula>COUNTIF(B:B,B9)&gt;1</formula>
    </cfRule>
  </conditionalFormatting>
  <conditionalFormatting sqref="O9:U58">
    <cfRule type="cellIs" dxfId="8" priority="1" stopIfTrue="1" operator="lessThanOrEqual">
      <formula>49</formula>
    </cfRule>
    <cfRule type="cellIs" dxfId="7" priority="2" stopIfTrue="1" operator="equal">
      <formula>"A"</formula>
    </cfRule>
    <cfRule type="cellIs" dxfId="6" priority="3" stopIfTrue="1" operator="equal">
      <formula>"WH"</formula>
    </cfRule>
  </conditionalFormatting>
  <conditionalFormatting sqref="V9:Y9 L9:M58 Z9:AG58 X10:Y43 V10:W58 F59:K59">
    <cfRule type="cellIs" dxfId="5" priority="8" stopIfTrue="1" operator="lessThanOrEqual">
      <formula>49</formula>
    </cfRule>
    <cfRule type="cellIs" dxfId="4" priority="9" stopIfTrue="1" operator="equal">
      <formula>"A"</formula>
    </cfRule>
    <cfRule type="cellIs" dxfId="3" priority="10" stopIfTrue="1" operator="equal">
      <formula>"WH"</formula>
    </cfRule>
  </conditionalFormatting>
  <conditionalFormatting sqref="X44:Y58">
    <cfRule type="cellIs" dxfId="2" priority="5" stopIfTrue="1" operator="lessThan">
      <formula>50</formula>
    </cfRule>
    <cfRule type="cellIs" dxfId="1" priority="6" stopIfTrue="1" operator="equal">
      <formula>"A"</formula>
    </cfRule>
    <cfRule type="cellIs" dxfId="0" priority="7" stopIfTrue="1" operator="equal">
      <formula>"'WH'"</formula>
    </cfRule>
  </conditionalFormatting>
  <pageMargins left="0.75" right="0.75" top="1" bottom="1" header="0.5" footer="0.5"/>
  <pageSetup paperSize="9" scale="16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1.....UNM-INTERNAL WITH EXTRA</vt:lpstr>
      <vt:lpstr>OVERALL_MARKS</vt:lpstr>
      <vt:lpstr>OVERALL_MARKS!Print_Area</vt:lpstr>
      <vt:lpstr>'1.....UNM-INTERNAL WITH EXTRA'!Print_Titles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Nilofar Fathima</dc:creator>
  <cp:lastModifiedBy>Sanjay .M</cp:lastModifiedBy>
  <cp:lastPrinted>2025-07-23T04:26:24Z</cp:lastPrinted>
  <dcterms:created xsi:type="dcterms:W3CDTF">2025-04-08T16:15:00Z</dcterms:created>
  <dcterms:modified xsi:type="dcterms:W3CDTF">2025-12-08T08:11:25Z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9F0FDA93B0704835BD213196FDC88703_13</vt:lpwstr>
  </property>
  <property fmtid="{D5CDD505-2E9C-101B-9397-08002B2CF9AE}" pid="3" name="KSOProductBuildVer">
    <vt:lpwstr>1033-12.2.0.20795</vt:lpwstr>
  </property>
</Properties>
</file>